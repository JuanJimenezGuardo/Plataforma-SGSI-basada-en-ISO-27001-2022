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metadata.xml" ContentType="application/vnd.openxmlformats-officedocument.spreadsheetml.sheetMetadata+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vitgesas-my.sharepoint.com/personal/mv_vit_com_co/Documents/Descargas/"/>
    </mc:Choice>
  </mc:AlternateContent>
  <xr:revisionPtr revIDLastSave="4371" documentId="8_{D88C6330-2853-5641-9C48-E18E64C2F273}" xr6:coauthVersionLast="47" xr6:coauthVersionMax="47" xr10:uidLastSave="{2B58CA57-1802-4DBC-80C3-D7CDA53CAC86}"/>
  <bookViews>
    <workbookView xWindow="-28920" yWindow="-75" windowWidth="29040" windowHeight="15720" xr2:uid="{A714761C-8136-284E-B5F0-6B37FDF211AF}"/>
  </bookViews>
  <sheets>
    <sheet name="Bienvenido" sheetId="3" r:id="rId1"/>
    <sheet name="Referencias normativas" sheetId="5" r:id="rId2"/>
    <sheet name="Citas" sheetId="4" r:id="rId3"/>
    <sheet name="Entregables" sheetId="6" r:id="rId4"/>
    <sheet name="Información sobre el proyecto" sheetId="2" r:id="rId5"/>
    <sheet name="Diagrama de Gantt" sheetId="1" r:id="rId6"/>
  </sheets>
  <definedNames>
    <definedName name="Date">'Diagrama de Gantt'!A$7</definedName>
    <definedName name="Duration" localSheetId="5">MAX('Diagrama de Gantt'!$G1,1)</definedName>
    <definedName name="Finish" localSheetId="5">'Diagrama de Gantt'!$I1</definedName>
    <definedName name="Start" localSheetId="5">'Diagrama de Gantt'!$H1</definedName>
    <definedName name="Type" localSheetId="5">'Diagrama de Gantt'!$C1</definedName>
  </definedNames>
  <calcPr calcId="191029"/>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04" i="1" l="1"/>
  <c r="B24" i="1"/>
  <c r="B26" i="1"/>
  <c r="B28" i="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G109" i="1"/>
  <c r="B13" i="1"/>
  <c r="B14" i="1" s="1"/>
  <c r="G50" i="1"/>
  <c r="G96" i="1"/>
  <c r="G95" i="1" l="1"/>
  <c r="G21" i="1"/>
  <c r="J123" i="1" a="1"/>
  <c r="J123" i="1" s="1"/>
  <c r="J114" i="1" a="1"/>
  <c r="J114" i="1" s="1"/>
  <c r="J81" i="1" a="1"/>
  <c r="J81" i="1" s="1"/>
  <c r="J72" i="1" a="1"/>
  <c r="J72" i="1" s="1"/>
  <c r="J50" i="1" a="1"/>
  <c r="J50" i="1" s="1"/>
  <c r="J43" i="1" a="1"/>
  <c r="J43" i="1" s="1"/>
  <c r="J36" i="1" a="1"/>
  <c r="J36" i="1" s="1"/>
  <c r="J21" i="1" a="1"/>
  <c r="J21" i="1" s="1"/>
  <c r="G81" i="1"/>
  <c r="G139" i="1"/>
  <c r="G123" i="1"/>
  <c r="G114" i="1"/>
  <c r="G43" i="1"/>
  <c r="G36" i="1"/>
  <c r="G72" i="1"/>
  <c r="G151" i="1"/>
  <c r="G134" i="1"/>
  <c r="G91" i="1"/>
  <c r="G87" i="1"/>
  <c r="G61" i="1"/>
  <c r="H10" i="1"/>
  <c r="G80" i="1" l="1"/>
  <c r="G113" i="1"/>
  <c r="J91" i="1" a="1"/>
  <c r="J91" i="1" s="1"/>
  <c r="J139" i="1" a="1"/>
  <c r="J139" i="1" s="1"/>
  <c r="J162" i="1"/>
  <c r="J151" i="1" s="1" a="1"/>
  <c r="J151" i="1" s="1"/>
  <c r="J134" i="1" a="1"/>
  <c r="J134" i="1" s="1"/>
  <c r="J87" i="1" a="1"/>
  <c r="J87" i="1" s="1"/>
  <c r="J61" i="1" a="1"/>
  <c r="J61" i="1" s="1"/>
  <c r="J10" i="1" a="1"/>
  <c r="J10" i="1" s="1"/>
  <c r="H11" i="1"/>
  <c r="G10" i="1"/>
  <c r="J95" i="1" l="1" a="1"/>
  <c r="J95" i="1" s="1"/>
  <c r="J113" i="1"/>
  <c r="J80" i="1"/>
  <c r="B11" i="1"/>
  <c r="B15" i="1" s="1"/>
  <c r="B16" i="1" s="1"/>
  <c r="B17" i="1" s="1"/>
  <c r="B18" i="1" s="1"/>
  <c r="B19" i="1" s="1"/>
  <c r="B20" i="1" s="1"/>
  <c r="I11" i="1" a="1"/>
  <c r="I11" i="1" s="1"/>
  <c r="I10" i="1" a="1"/>
  <c r="I10" i="1" s="1"/>
  <c r="B2" i="1"/>
  <c r="M7" i="1"/>
  <c r="M8" i="1" s="1"/>
  <c r="H12" i="1" l="1"/>
  <c r="B21" i="1"/>
  <c r="B22" i="1" s="1"/>
  <c r="M163" i="1"/>
  <c r="M11" i="1"/>
  <c r="M10" i="1"/>
  <c r="M6" i="1"/>
  <c r="N7" i="1"/>
  <c r="I12" i="1" l="1" a="1"/>
  <c r="I12" i="1" s="1"/>
  <c r="H13" i="1" s="1"/>
  <c r="I13" i="1" s="1" a="1"/>
  <c r="I13" i="1" s="1"/>
  <c r="H14" i="1" s="1"/>
  <c r="M12" i="1"/>
  <c r="N12" i="1"/>
  <c r="N8" i="1"/>
  <c r="N11" i="1"/>
  <c r="N163" i="1"/>
  <c r="N10" i="1"/>
  <c r="O7" i="1"/>
  <c r="O12" i="1" s="1"/>
  <c r="N14" i="1" l="1"/>
  <c r="O14" i="1"/>
  <c r="M14" i="1"/>
  <c r="M13" i="1"/>
  <c r="N13" i="1"/>
  <c r="O13" i="1"/>
  <c r="I14" i="1" a="1"/>
  <c r="I14" i="1" s="1"/>
  <c r="H15" i="1" s="1"/>
  <c r="O8" i="1"/>
  <c r="O11" i="1"/>
  <c r="O10" i="1"/>
  <c r="O163" i="1"/>
  <c r="P7" i="1"/>
  <c r="P14" i="1" s="1"/>
  <c r="P13" i="1" l="1"/>
  <c r="P8" i="1"/>
  <c r="P12" i="1"/>
  <c r="N15" i="1"/>
  <c r="O15" i="1"/>
  <c r="P15" i="1"/>
  <c r="M15" i="1"/>
  <c r="I15" i="1" a="1"/>
  <c r="I15" i="1" s="1"/>
  <c r="H16" i="1" s="1"/>
  <c r="P11" i="1"/>
  <c r="P10" i="1"/>
  <c r="P163" i="1"/>
  <c r="Q7" i="1"/>
  <c r="Q15" i="1" s="1"/>
  <c r="Q12" i="1" l="1"/>
  <c r="Q13" i="1"/>
  <c r="Q14" i="1"/>
  <c r="Q16" i="1"/>
  <c r="O16" i="1"/>
  <c r="M16" i="1"/>
  <c r="N16" i="1"/>
  <c r="P16" i="1"/>
  <c r="Q8" i="1"/>
  <c r="I16" i="1" a="1"/>
  <c r="I16" i="1" s="1"/>
  <c r="H17" i="1" s="1"/>
  <c r="Q11" i="1"/>
  <c r="Q163" i="1"/>
  <c r="Q10" i="1"/>
  <c r="R7" i="1"/>
  <c r="M17" i="1" l="1"/>
  <c r="P17" i="1"/>
  <c r="N17" i="1"/>
  <c r="O17" i="1"/>
  <c r="Q17" i="1"/>
  <c r="I17" i="1" a="1"/>
  <c r="I17" i="1" s="1"/>
  <c r="H18" i="1" s="1"/>
  <c r="R8" i="1"/>
  <c r="R11" i="1"/>
  <c r="R15" i="1"/>
  <c r="R14" i="1"/>
  <c r="R10" i="1"/>
  <c r="R163" i="1"/>
  <c r="S7" i="1"/>
  <c r="O18" i="1" l="1"/>
  <c r="P18" i="1"/>
  <c r="M18" i="1"/>
  <c r="Q18" i="1"/>
  <c r="N18" i="1"/>
  <c r="S8" i="1"/>
  <c r="S11" i="1"/>
  <c r="I18" i="1" a="1"/>
  <c r="I18" i="1" s="1"/>
  <c r="H19" i="1" s="1"/>
  <c r="S14" i="1"/>
  <c r="S15" i="1"/>
  <c r="S10" i="1"/>
  <c r="S163" i="1"/>
  <c r="T7" i="1"/>
  <c r="T18" i="1" s="1"/>
  <c r="O19" i="1" l="1"/>
  <c r="P19" i="1"/>
  <c r="M19" i="1"/>
  <c r="N19" i="1"/>
  <c r="Q19" i="1"/>
  <c r="I19" i="1" a="1"/>
  <c r="I19" i="1" s="1"/>
  <c r="H20" i="1" s="1"/>
  <c r="T19" i="1"/>
  <c r="T8" i="1"/>
  <c r="T11" i="1"/>
  <c r="T12" i="1"/>
  <c r="T13" i="1"/>
  <c r="T14" i="1"/>
  <c r="T15" i="1"/>
  <c r="T16" i="1"/>
  <c r="T17" i="1"/>
  <c r="T10" i="1"/>
  <c r="T163" i="1"/>
  <c r="U7" i="1"/>
  <c r="U19" i="1" s="1"/>
  <c r="T6" i="1"/>
  <c r="M20" i="1" l="1"/>
  <c r="N20" i="1"/>
  <c r="P20" i="1"/>
  <c r="Q20" i="1"/>
  <c r="O20" i="1"/>
  <c r="U8" i="1"/>
  <c r="U11" i="1"/>
  <c r="U13" i="1"/>
  <c r="U12" i="1"/>
  <c r="U14" i="1"/>
  <c r="U15" i="1"/>
  <c r="U16" i="1"/>
  <c r="U17" i="1"/>
  <c r="U18" i="1"/>
  <c r="I20" i="1" a="1"/>
  <c r="I20" i="1" s="1"/>
  <c r="H21" i="1" s="1"/>
  <c r="T20" i="1"/>
  <c r="U20" i="1"/>
  <c r="U163" i="1"/>
  <c r="U10" i="1"/>
  <c r="V7" i="1"/>
  <c r="V20" i="1" s="1"/>
  <c r="H22" i="1" l="1"/>
  <c r="P21" i="1"/>
  <c r="Q21" i="1"/>
  <c r="N21" i="1"/>
  <c r="M21" i="1"/>
  <c r="O21" i="1"/>
  <c r="V8" i="1"/>
  <c r="V11" i="1"/>
  <c r="V13" i="1"/>
  <c r="V12" i="1"/>
  <c r="V14" i="1"/>
  <c r="V15" i="1"/>
  <c r="V16" i="1"/>
  <c r="V17" i="1"/>
  <c r="V18" i="1"/>
  <c r="V19" i="1"/>
  <c r="U21" i="1"/>
  <c r="V21" i="1"/>
  <c r="T21" i="1"/>
  <c r="S21" i="1"/>
  <c r="I21" i="1" a="1"/>
  <c r="I21" i="1" s="1"/>
  <c r="R21" i="1"/>
  <c r="V10" i="1"/>
  <c r="V163" i="1"/>
  <c r="W7" i="1"/>
  <c r="O22" i="1" l="1"/>
  <c r="P22" i="1"/>
  <c r="Q22" i="1"/>
  <c r="M22" i="1"/>
  <c r="N22" i="1"/>
  <c r="W8" i="1"/>
  <c r="W11" i="1"/>
  <c r="W13" i="1"/>
  <c r="W12" i="1"/>
  <c r="W14" i="1"/>
  <c r="W15" i="1"/>
  <c r="W16" i="1"/>
  <c r="W17" i="1"/>
  <c r="W18" i="1"/>
  <c r="W19" i="1"/>
  <c r="W20" i="1"/>
  <c r="I22" i="1" a="1"/>
  <c r="I22" i="1" s="1"/>
  <c r="H23" i="1" s="1"/>
  <c r="T22" i="1"/>
  <c r="U22" i="1"/>
  <c r="V22" i="1"/>
  <c r="W22" i="1"/>
  <c r="W21" i="1"/>
  <c r="W10" i="1"/>
  <c r="W163" i="1"/>
  <c r="X7" i="1"/>
  <c r="X22" i="1" s="1"/>
  <c r="N23" i="1" l="1"/>
  <c r="O23" i="1"/>
  <c r="Q23" i="1"/>
  <c r="P23" i="1"/>
  <c r="M23" i="1"/>
  <c r="X8" i="1"/>
  <c r="X11" i="1"/>
  <c r="X13" i="1"/>
  <c r="X12" i="1"/>
  <c r="X14" i="1"/>
  <c r="X15" i="1"/>
  <c r="X16" i="1"/>
  <c r="X17" i="1"/>
  <c r="X18" i="1"/>
  <c r="X19" i="1"/>
  <c r="X20" i="1"/>
  <c r="X21" i="1"/>
  <c r="I23" i="1" a="1"/>
  <c r="I23" i="1" s="1"/>
  <c r="H24" i="1" s="1"/>
  <c r="T23" i="1"/>
  <c r="U23" i="1"/>
  <c r="V23" i="1"/>
  <c r="W23" i="1"/>
  <c r="X23" i="1"/>
  <c r="X163" i="1"/>
  <c r="X10" i="1"/>
  <c r="Y7" i="1"/>
  <c r="Q24" i="1" l="1"/>
  <c r="O24" i="1"/>
  <c r="M24" i="1"/>
  <c r="N24" i="1"/>
  <c r="P24" i="1"/>
  <c r="Y8" i="1"/>
  <c r="Y11" i="1"/>
  <c r="I24" i="1" a="1"/>
  <c r="I24" i="1" s="1"/>
  <c r="H26" i="1" s="1"/>
  <c r="V24" i="1"/>
  <c r="W24" i="1"/>
  <c r="X24" i="1"/>
  <c r="T24" i="1"/>
  <c r="U24" i="1"/>
  <c r="Y21" i="1"/>
  <c r="Y15" i="1"/>
  <c r="Y14" i="1"/>
  <c r="Y163" i="1"/>
  <c r="Y10" i="1"/>
  <c r="Z7" i="1"/>
  <c r="M26" i="1" l="1"/>
  <c r="P26" i="1"/>
  <c r="Q26" i="1"/>
  <c r="N26" i="1"/>
  <c r="O26" i="1"/>
  <c r="I26" i="1" a="1"/>
  <c r="I26" i="1" s="1"/>
  <c r="H27" i="1" s="1"/>
  <c r="T26" i="1"/>
  <c r="U26" i="1"/>
  <c r="V26" i="1"/>
  <c r="W26" i="1"/>
  <c r="X26" i="1"/>
  <c r="Z8" i="1"/>
  <c r="Z11" i="1"/>
  <c r="Z21" i="1"/>
  <c r="Z14" i="1"/>
  <c r="Z15" i="1"/>
  <c r="Z10" i="1"/>
  <c r="Z163" i="1"/>
  <c r="AA7" i="1"/>
  <c r="AA26" i="1" s="1"/>
  <c r="Z27" i="1" l="1"/>
  <c r="O27" i="1"/>
  <c r="P27" i="1"/>
  <c r="M27" i="1"/>
  <c r="Q27" i="1"/>
  <c r="N27" i="1"/>
  <c r="AA8" i="1"/>
  <c r="AA11" i="1"/>
  <c r="AA12" i="1"/>
  <c r="AA13" i="1"/>
  <c r="AA14" i="1"/>
  <c r="AA15" i="1"/>
  <c r="AA16" i="1"/>
  <c r="AA17" i="1"/>
  <c r="AA18" i="1"/>
  <c r="AA19" i="1"/>
  <c r="AA20" i="1"/>
  <c r="AA21" i="1"/>
  <c r="AA22" i="1"/>
  <c r="AA23" i="1"/>
  <c r="AA24" i="1"/>
  <c r="AA27" i="1"/>
  <c r="T27" i="1"/>
  <c r="U27" i="1"/>
  <c r="V27" i="1"/>
  <c r="W27" i="1"/>
  <c r="X27" i="1"/>
  <c r="S27" i="1"/>
  <c r="I27" i="1" a="1"/>
  <c r="I27" i="1" s="1"/>
  <c r="H28" i="1" s="1"/>
  <c r="R27" i="1"/>
  <c r="Y27" i="1"/>
  <c r="AA10" i="1"/>
  <c r="AA163" i="1"/>
  <c r="AB7" i="1"/>
  <c r="AB27" i="1" s="1"/>
  <c r="AA6" i="1"/>
  <c r="M28" i="1" l="1"/>
  <c r="P28" i="1"/>
  <c r="N28" i="1"/>
  <c r="O28" i="1"/>
  <c r="Q28" i="1"/>
  <c r="AB8" i="1"/>
  <c r="AB11" i="1"/>
  <c r="AB13" i="1"/>
  <c r="AB12" i="1"/>
  <c r="AB14" i="1"/>
  <c r="AB15" i="1"/>
  <c r="AB16" i="1"/>
  <c r="AB17" i="1"/>
  <c r="AB18" i="1"/>
  <c r="AB19" i="1"/>
  <c r="AB20" i="1"/>
  <c r="AB21" i="1"/>
  <c r="AB22" i="1"/>
  <c r="AB23" i="1"/>
  <c r="AB24" i="1"/>
  <c r="AB26" i="1"/>
  <c r="W28" i="1"/>
  <c r="X28" i="1"/>
  <c r="T28" i="1"/>
  <c r="U28" i="1"/>
  <c r="V28" i="1"/>
  <c r="AA28" i="1"/>
  <c r="AB28" i="1"/>
  <c r="I28" i="1" a="1"/>
  <c r="I28" i="1" s="1"/>
  <c r="H29" i="1" s="1"/>
  <c r="R28" i="1"/>
  <c r="S28" i="1"/>
  <c r="Y28" i="1"/>
  <c r="Z28" i="1"/>
  <c r="AB10" i="1"/>
  <c r="AB163" i="1"/>
  <c r="AC7" i="1"/>
  <c r="AC28" i="1" s="1"/>
  <c r="M29" i="1" l="1"/>
  <c r="N29" i="1"/>
  <c r="Q29" i="1"/>
  <c r="O29" i="1"/>
  <c r="P29" i="1"/>
  <c r="AA29" i="1"/>
  <c r="T29" i="1"/>
  <c r="AB29" i="1"/>
  <c r="U29" i="1"/>
  <c r="AC29" i="1"/>
  <c r="W29" i="1"/>
  <c r="V29" i="1"/>
  <c r="X29" i="1"/>
  <c r="Z29" i="1"/>
  <c r="S29" i="1"/>
  <c r="R29" i="1"/>
  <c r="Y29" i="1"/>
  <c r="I29" i="1" a="1"/>
  <c r="I29" i="1" s="1"/>
  <c r="AC8" i="1"/>
  <c r="AC11" i="1"/>
  <c r="AC13" i="1"/>
  <c r="AC12" i="1"/>
  <c r="AC14" i="1"/>
  <c r="AC15" i="1"/>
  <c r="AC16" i="1"/>
  <c r="AC17" i="1"/>
  <c r="AC18" i="1"/>
  <c r="AC19" i="1"/>
  <c r="AC20" i="1"/>
  <c r="AC21" i="1"/>
  <c r="AC22" i="1"/>
  <c r="AC23" i="1"/>
  <c r="AC24" i="1"/>
  <c r="AC26" i="1"/>
  <c r="AC27" i="1"/>
  <c r="AC163" i="1"/>
  <c r="AC10" i="1"/>
  <c r="AD7" i="1"/>
  <c r="H30" i="1" l="1"/>
  <c r="AD8" i="1"/>
  <c r="AD11" i="1"/>
  <c r="AD13" i="1"/>
  <c r="AD12" i="1"/>
  <c r="AD14" i="1"/>
  <c r="AD15" i="1"/>
  <c r="AD16" i="1"/>
  <c r="AD17" i="1"/>
  <c r="AD18" i="1"/>
  <c r="AD19" i="1"/>
  <c r="AD20" i="1"/>
  <c r="AD21" i="1"/>
  <c r="AD22" i="1"/>
  <c r="AD23" i="1"/>
  <c r="AD24" i="1"/>
  <c r="AD26" i="1"/>
  <c r="AD27" i="1"/>
  <c r="AD28" i="1"/>
  <c r="AD29" i="1"/>
  <c r="AD10" i="1"/>
  <c r="AD163" i="1"/>
  <c r="AE7" i="1"/>
  <c r="P30" i="1" l="1"/>
  <c r="Q30" i="1"/>
  <c r="M30" i="1"/>
  <c r="N30" i="1"/>
  <c r="I30" i="1" a="1"/>
  <c r="I30" i="1" s="1"/>
  <c r="H31" i="1" s="1"/>
  <c r="AE31" i="1" s="1"/>
  <c r="O30" i="1"/>
  <c r="AE8" i="1"/>
  <c r="AE11" i="1"/>
  <c r="AE12" i="1"/>
  <c r="AE13" i="1"/>
  <c r="AE14" i="1"/>
  <c r="AE15" i="1"/>
  <c r="AE16" i="1"/>
  <c r="AE17" i="1"/>
  <c r="AE18" i="1"/>
  <c r="AE19" i="1"/>
  <c r="AE20" i="1"/>
  <c r="AE21" i="1"/>
  <c r="AE22" i="1"/>
  <c r="AE23" i="1"/>
  <c r="AE24" i="1"/>
  <c r="AE26" i="1"/>
  <c r="AE27" i="1"/>
  <c r="AE28" i="1"/>
  <c r="AE29" i="1"/>
  <c r="AE10" i="1"/>
  <c r="AE163" i="1"/>
  <c r="AF7" i="1"/>
  <c r="I31" i="1" l="1" a="1"/>
  <c r="I31" i="1" s="1"/>
  <c r="H32" i="1" s="1"/>
  <c r="N31" i="1"/>
  <c r="O31" i="1"/>
  <c r="Q31" i="1"/>
  <c r="M31" i="1"/>
  <c r="P31" i="1"/>
  <c r="Y31" i="1"/>
  <c r="X31" i="1"/>
  <c r="S31" i="1"/>
  <c r="Z31" i="1"/>
  <c r="AB31" i="1"/>
  <c r="R31" i="1"/>
  <c r="AA31" i="1"/>
  <c r="AC31" i="1"/>
  <c r="V31" i="1"/>
  <c r="T31" i="1"/>
  <c r="U31" i="1"/>
  <c r="AD31" i="1"/>
  <c r="W31" i="1"/>
  <c r="AF8" i="1"/>
  <c r="AF11" i="1"/>
  <c r="AF27" i="1"/>
  <c r="AF31" i="1"/>
  <c r="AF15" i="1"/>
  <c r="AF29" i="1"/>
  <c r="AF28" i="1"/>
  <c r="AF21" i="1"/>
  <c r="AF14" i="1"/>
  <c r="AF163" i="1"/>
  <c r="AF10" i="1"/>
  <c r="AG7" i="1"/>
  <c r="N32" i="1" l="1"/>
  <c r="O32" i="1"/>
  <c r="P32" i="1"/>
  <c r="Q32" i="1"/>
  <c r="M32" i="1"/>
  <c r="X32" i="1"/>
  <c r="AD32" i="1"/>
  <c r="T32" i="1"/>
  <c r="AE32" i="1"/>
  <c r="AA32" i="1"/>
  <c r="V32" i="1"/>
  <c r="AC32" i="1"/>
  <c r="W32" i="1"/>
  <c r="U32" i="1"/>
  <c r="AB32" i="1"/>
  <c r="I32" i="1" a="1"/>
  <c r="I32" i="1" s="1"/>
  <c r="H33" i="1" s="1"/>
  <c r="AG8" i="1"/>
  <c r="AG11" i="1"/>
  <c r="AG14" i="1"/>
  <c r="AG27" i="1"/>
  <c r="AG15" i="1"/>
  <c r="AG29" i="1"/>
  <c r="AG28" i="1"/>
  <c r="AG31" i="1"/>
  <c r="AG21" i="1"/>
  <c r="AG163" i="1"/>
  <c r="AG10" i="1"/>
  <c r="AH7" i="1"/>
  <c r="Q33" i="1" l="1"/>
  <c r="N33" i="1"/>
  <c r="O33" i="1"/>
  <c r="M33" i="1"/>
  <c r="P33" i="1"/>
  <c r="U33" i="1"/>
  <c r="X33" i="1"/>
  <c r="AD33" i="1"/>
  <c r="AE33" i="1"/>
  <c r="V33" i="1"/>
  <c r="W33" i="1"/>
  <c r="AB33" i="1"/>
  <c r="AC33" i="1"/>
  <c r="AA33" i="1"/>
  <c r="T33" i="1"/>
  <c r="I33" i="1" a="1"/>
  <c r="I33" i="1" s="1"/>
  <c r="H34" i="1" s="1"/>
  <c r="AH8" i="1"/>
  <c r="AH11" i="1"/>
  <c r="AH12" i="1"/>
  <c r="AH13" i="1"/>
  <c r="AH14" i="1"/>
  <c r="AH15" i="1"/>
  <c r="AH16" i="1"/>
  <c r="AH17" i="1"/>
  <c r="AH18" i="1"/>
  <c r="AH19" i="1"/>
  <c r="AH20" i="1"/>
  <c r="AH21" i="1"/>
  <c r="AH22" i="1"/>
  <c r="AH23" i="1"/>
  <c r="AH24" i="1"/>
  <c r="AH26" i="1"/>
  <c r="AH27" i="1"/>
  <c r="AH28" i="1"/>
  <c r="AH29" i="1"/>
  <c r="AH31" i="1"/>
  <c r="AH32" i="1"/>
  <c r="AH33" i="1"/>
  <c r="AH10" i="1"/>
  <c r="AH163" i="1"/>
  <c r="AI7" i="1"/>
  <c r="AH6" i="1"/>
  <c r="M34" i="1" l="1"/>
  <c r="P34" i="1"/>
  <c r="N34" i="1"/>
  <c r="O34" i="1"/>
  <c r="Q34" i="1"/>
  <c r="S34" i="1"/>
  <c r="AC34" i="1"/>
  <c r="U34" i="1"/>
  <c r="Z34" i="1"/>
  <c r="T34" i="1"/>
  <c r="W34" i="1"/>
  <c r="Y34" i="1"/>
  <c r="AA34" i="1"/>
  <c r="AB34" i="1"/>
  <c r="V34" i="1"/>
  <c r="AF34" i="1"/>
  <c r="I34" i="1" a="1"/>
  <c r="I34" i="1" s="1"/>
  <c r="H35" i="1" s="1"/>
  <c r="AE34" i="1"/>
  <c r="AG34" i="1"/>
  <c r="X34" i="1"/>
  <c r="R34" i="1"/>
  <c r="AD34" i="1"/>
  <c r="AH34" i="1"/>
  <c r="AI8" i="1"/>
  <c r="AI11" i="1"/>
  <c r="AI12" i="1"/>
  <c r="AI13" i="1"/>
  <c r="AI14" i="1"/>
  <c r="AI15" i="1"/>
  <c r="AI16" i="1"/>
  <c r="AI17" i="1"/>
  <c r="AI18" i="1"/>
  <c r="AI19" i="1"/>
  <c r="AI20" i="1"/>
  <c r="AI21" i="1"/>
  <c r="AI22" i="1"/>
  <c r="AI23" i="1"/>
  <c r="AI24" i="1"/>
  <c r="AI26" i="1"/>
  <c r="AI27" i="1"/>
  <c r="AI28" i="1"/>
  <c r="AI29" i="1"/>
  <c r="AI31" i="1"/>
  <c r="AI32" i="1"/>
  <c r="AI33" i="1"/>
  <c r="AI34" i="1"/>
  <c r="AI35" i="1"/>
  <c r="AI10" i="1"/>
  <c r="AI163" i="1"/>
  <c r="AJ7" i="1"/>
  <c r="O35" i="1" l="1"/>
  <c r="P35" i="1"/>
  <c r="M35" i="1"/>
  <c r="Q35" i="1"/>
  <c r="N35" i="1"/>
  <c r="AB35" i="1"/>
  <c r="X35" i="1"/>
  <c r="AC35" i="1"/>
  <c r="AE35" i="1"/>
  <c r="V35" i="1"/>
  <c r="AA35" i="1"/>
  <c r="W35" i="1"/>
  <c r="AH35" i="1"/>
  <c r="I35" i="1" a="1"/>
  <c r="I35" i="1" s="1"/>
  <c r="H36" i="1" s="1"/>
  <c r="AJ36" i="1" s="1"/>
  <c r="AD35" i="1"/>
  <c r="T35" i="1"/>
  <c r="U35" i="1"/>
  <c r="AJ11" i="1"/>
  <c r="AJ13" i="1"/>
  <c r="AJ12" i="1"/>
  <c r="AJ14" i="1"/>
  <c r="AJ15" i="1"/>
  <c r="AJ16" i="1"/>
  <c r="AJ17" i="1"/>
  <c r="AJ18" i="1"/>
  <c r="AJ19" i="1"/>
  <c r="AJ20" i="1"/>
  <c r="AJ21" i="1"/>
  <c r="AJ22" i="1"/>
  <c r="AJ23" i="1"/>
  <c r="AJ24" i="1"/>
  <c r="AJ26" i="1"/>
  <c r="AJ27" i="1"/>
  <c r="AJ28" i="1"/>
  <c r="AJ29" i="1"/>
  <c r="AJ31" i="1"/>
  <c r="AJ32" i="1"/>
  <c r="AJ33" i="1"/>
  <c r="AJ34" i="1"/>
  <c r="AJ35" i="1"/>
  <c r="AJ8" i="1"/>
  <c r="AJ10" i="1"/>
  <c r="AJ163" i="1"/>
  <c r="AK7" i="1"/>
  <c r="M36" i="1" l="1"/>
  <c r="O36" i="1"/>
  <c r="P36" i="1"/>
  <c r="N36" i="1"/>
  <c r="Q36" i="1"/>
  <c r="H37" i="1"/>
  <c r="AK37" i="1" s="1"/>
  <c r="S36" i="1"/>
  <c r="W36" i="1"/>
  <c r="AD36" i="1"/>
  <c r="R36" i="1"/>
  <c r="AH36" i="1"/>
  <c r="AB36" i="1"/>
  <c r="AA36" i="1"/>
  <c r="X36" i="1"/>
  <c r="AI36" i="1"/>
  <c r="AC36" i="1"/>
  <c r="AE36" i="1"/>
  <c r="AG36" i="1"/>
  <c r="AF36" i="1"/>
  <c r="I36" i="1" a="1"/>
  <c r="I36" i="1" s="1"/>
  <c r="Z36" i="1"/>
  <c r="V36" i="1"/>
  <c r="Y36" i="1"/>
  <c r="T36" i="1"/>
  <c r="U36" i="1"/>
  <c r="AK11" i="1"/>
  <c r="AK12" i="1"/>
  <c r="AK13" i="1"/>
  <c r="AK14" i="1"/>
  <c r="AK15" i="1"/>
  <c r="AK16" i="1"/>
  <c r="AK17" i="1"/>
  <c r="AK18" i="1"/>
  <c r="AK19" i="1"/>
  <c r="AK20" i="1"/>
  <c r="AK21" i="1"/>
  <c r="AK22" i="1"/>
  <c r="AK23" i="1"/>
  <c r="AK24" i="1"/>
  <c r="AK26" i="1"/>
  <c r="AK27" i="1"/>
  <c r="AK28" i="1"/>
  <c r="AK29" i="1"/>
  <c r="AK31" i="1"/>
  <c r="AK32" i="1"/>
  <c r="AK33" i="1"/>
  <c r="AK34" i="1"/>
  <c r="AK35" i="1"/>
  <c r="AK36" i="1"/>
  <c r="AK8" i="1"/>
  <c r="AK10" i="1"/>
  <c r="AK163" i="1"/>
  <c r="AL7" i="1"/>
  <c r="AB37" i="1" l="1"/>
  <c r="M37" i="1"/>
  <c r="N37" i="1"/>
  <c r="Q37" i="1"/>
  <c r="O37" i="1"/>
  <c r="P37" i="1"/>
  <c r="W37" i="1"/>
  <c r="AA37" i="1"/>
  <c r="AH37" i="1"/>
  <c r="S37" i="1"/>
  <c r="I37" i="1" a="1"/>
  <c r="I37" i="1" s="1"/>
  <c r="H38" i="1" s="1"/>
  <c r="AL38" i="1" s="1"/>
  <c r="R37" i="1"/>
  <c r="AI37" i="1"/>
  <c r="Z37" i="1"/>
  <c r="AD37" i="1"/>
  <c r="Y37" i="1"/>
  <c r="X37" i="1"/>
  <c r="AF37" i="1"/>
  <c r="AG37" i="1"/>
  <c r="AJ37" i="1"/>
  <c r="V37" i="1"/>
  <c r="T37" i="1"/>
  <c r="AE37" i="1"/>
  <c r="U37" i="1"/>
  <c r="AC37" i="1"/>
  <c r="AL11" i="1"/>
  <c r="AL13" i="1"/>
  <c r="AL12" i="1"/>
  <c r="AL14" i="1"/>
  <c r="AL15" i="1"/>
  <c r="AL16" i="1"/>
  <c r="AL17" i="1"/>
  <c r="AL18" i="1"/>
  <c r="AL19" i="1"/>
  <c r="AL20" i="1"/>
  <c r="AL21" i="1"/>
  <c r="AL22" i="1"/>
  <c r="AL23" i="1"/>
  <c r="AL24" i="1"/>
  <c r="AL26" i="1"/>
  <c r="AL27" i="1"/>
  <c r="AL28" i="1"/>
  <c r="AL29" i="1"/>
  <c r="AL31" i="1"/>
  <c r="AL32" i="1"/>
  <c r="AL33" i="1"/>
  <c r="AL34" i="1"/>
  <c r="AL35" i="1"/>
  <c r="AL36" i="1"/>
  <c r="AL37" i="1"/>
  <c r="AL8" i="1"/>
  <c r="AL10" i="1"/>
  <c r="AL163" i="1"/>
  <c r="AM7" i="1"/>
  <c r="AM11" i="1" s="1"/>
  <c r="AK38" i="1" l="1"/>
  <c r="AB38" i="1"/>
  <c r="S38" i="1"/>
  <c r="AD38" i="1"/>
  <c r="X38" i="1"/>
  <c r="AF38" i="1"/>
  <c r="AE38" i="1"/>
  <c r="AG38" i="1"/>
  <c r="M38" i="1"/>
  <c r="U38" i="1"/>
  <c r="Y38" i="1"/>
  <c r="P38" i="1"/>
  <c r="O38" i="1"/>
  <c r="R38" i="1"/>
  <c r="AA38" i="1"/>
  <c r="Q38" i="1"/>
  <c r="AC38" i="1"/>
  <c r="T38" i="1"/>
  <c r="AH38" i="1"/>
  <c r="Z38" i="1"/>
  <c r="N38" i="1"/>
  <c r="AI38" i="1"/>
  <c r="V38" i="1"/>
  <c r="I38" i="1" a="1"/>
  <c r="I38" i="1" s="1"/>
  <c r="H39" i="1" s="1"/>
  <c r="AI39" i="1" s="1"/>
  <c r="AJ38" i="1"/>
  <c r="W38" i="1"/>
  <c r="AM8" i="1"/>
  <c r="AM34" i="1"/>
  <c r="AM21" i="1"/>
  <c r="AM36" i="1"/>
  <c r="AM29" i="1"/>
  <c r="AM31" i="1"/>
  <c r="AM37" i="1"/>
  <c r="AM14" i="1"/>
  <c r="AM27" i="1"/>
  <c r="AM15" i="1"/>
  <c r="AM28" i="1"/>
  <c r="AM38" i="1"/>
  <c r="AM163" i="1"/>
  <c r="AM10" i="1"/>
  <c r="AN7" i="1"/>
  <c r="AN11" i="1" s="1"/>
  <c r="V39" i="1" l="1"/>
  <c r="U39" i="1"/>
  <c r="AF39" i="1"/>
  <c r="AK39" i="1"/>
  <c r="AJ39" i="1"/>
  <c r="M39" i="1"/>
  <c r="Z39" i="1"/>
  <c r="AA39" i="1"/>
  <c r="T39" i="1"/>
  <c r="O39" i="1"/>
  <c r="AM39" i="1"/>
  <c r="N39" i="1"/>
  <c r="R39" i="1"/>
  <c r="I39" i="1" a="1"/>
  <c r="I39" i="1" s="1"/>
  <c r="H40" i="1" s="1"/>
  <c r="M40" i="1" s="1"/>
  <c r="AC39" i="1"/>
  <c r="AB39" i="1"/>
  <c r="AH39" i="1"/>
  <c r="Y39" i="1"/>
  <c r="Q39" i="1"/>
  <c r="AE39" i="1"/>
  <c r="P39" i="1"/>
  <c r="AG39" i="1"/>
  <c r="AL39" i="1"/>
  <c r="AD39" i="1"/>
  <c r="X39" i="1"/>
  <c r="S39" i="1"/>
  <c r="W39" i="1"/>
  <c r="AN8" i="1"/>
  <c r="AN28" i="1"/>
  <c r="AN34" i="1"/>
  <c r="AN21" i="1"/>
  <c r="AN39" i="1"/>
  <c r="AN29" i="1"/>
  <c r="AN31" i="1"/>
  <c r="AN36" i="1"/>
  <c r="AN37" i="1"/>
  <c r="AN14" i="1"/>
  <c r="AN15" i="1"/>
  <c r="AN38" i="1"/>
  <c r="AN27" i="1"/>
  <c r="AN163" i="1"/>
  <c r="AN10" i="1"/>
  <c r="AO7" i="1"/>
  <c r="AB40" i="1" l="1"/>
  <c r="AG40" i="1"/>
  <c r="Q40" i="1"/>
  <c r="AA40" i="1"/>
  <c r="AC40" i="1"/>
  <c r="P40" i="1"/>
  <c r="W40" i="1"/>
  <c r="O40" i="1"/>
  <c r="I40" i="1" a="1"/>
  <c r="I40" i="1" s="1"/>
  <c r="H41" i="1" s="1"/>
  <c r="N40" i="1"/>
  <c r="U40" i="1"/>
  <c r="AJ40" i="1"/>
  <c r="V40" i="1"/>
  <c r="Z40" i="1"/>
  <c r="AD40" i="1"/>
  <c r="AH40" i="1"/>
  <c r="AL40" i="1"/>
  <c r="AF40" i="1"/>
  <c r="AE40" i="1"/>
  <c r="AK40" i="1"/>
  <c r="AM40" i="1"/>
  <c r="S40" i="1"/>
  <c r="T40" i="1"/>
  <c r="AI40" i="1"/>
  <c r="AN40" i="1"/>
  <c r="R40" i="1"/>
  <c r="Y40" i="1"/>
  <c r="X40" i="1"/>
  <c r="AO8" i="1"/>
  <c r="AO11" i="1"/>
  <c r="AO13" i="1"/>
  <c r="AO12" i="1"/>
  <c r="AO14" i="1"/>
  <c r="AO15" i="1"/>
  <c r="AO16" i="1"/>
  <c r="AO17" i="1"/>
  <c r="AO18" i="1"/>
  <c r="AO19" i="1"/>
  <c r="AO20" i="1"/>
  <c r="AO21" i="1"/>
  <c r="AO22" i="1"/>
  <c r="AO23" i="1"/>
  <c r="AO24" i="1"/>
  <c r="AO26" i="1"/>
  <c r="AO27" i="1"/>
  <c r="AO28" i="1"/>
  <c r="AO29" i="1"/>
  <c r="AO31" i="1"/>
  <c r="AO32" i="1"/>
  <c r="AO33" i="1"/>
  <c r="AO34" i="1"/>
  <c r="AO35" i="1"/>
  <c r="AO36" i="1"/>
  <c r="AO37" i="1"/>
  <c r="AO38" i="1"/>
  <c r="AO39" i="1"/>
  <c r="AO40" i="1"/>
  <c r="AP7" i="1"/>
  <c r="AO163" i="1"/>
  <c r="AO10" i="1"/>
  <c r="AO6" i="1"/>
  <c r="Q41" i="1" l="1"/>
  <c r="M41" i="1"/>
  <c r="N41" i="1"/>
  <c r="O41" i="1"/>
  <c r="P41" i="1"/>
  <c r="AP11" i="1"/>
  <c r="AP13" i="1"/>
  <c r="AP12" i="1"/>
  <c r="AP14" i="1"/>
  <c r="AP15" i="1"/>
  <c r="AP16" i="1"/>
  <c r="AP17" i="1"/>
  <c r="AP18" i="1"/>
  <c r="AP19" i="1"/>
  <c r="AP20" i="1"/>
  <c r="AP21" i="1"/>
  <c r="AP22" i="1"/>
  <c r="AP23" i="1"/>
  <c r="AP24" i="1"/>
  <c r="AP26" i="1"/>
  <c r="AP27" i="1"/>
  <c r="AP28" i="1"/>
  <c r="AP29" i="1"/>
  <c r="AP31" i="1"/>
  <c r="AP32" i="1"/>
  <c r="AP33" i="1"/>
  <c r="AP34" i="1"/>
  <c r="AP35" i="1"/>
  <c r="AP36" i="1"/>
  <c r="AP37" i="1"/>
  <c r="AP38" i="1"/>
  <c r="AP39" i="1"/>
  <c r="AP40" i="1"/>
  <c r="I41" i="1" a="1"/>
  <c r="I41" i="1" s="1"/>
  <c r="H42" i="1" s="1"/>
  <c r="AO41" i="1"/>
  <c r="AP41" i="1"/>
  <c r="AK41" i="1"/>
  <c r="AL41" i="1"/>
  <c r="AH41" i="1"/>
  <c r="T41" i="1"/>
  <c r="AI41" i="1"/>
  <c r="AA41" i="1"/>
  <c r="U41" i="1"/>
  <c r="AJ41" i="1"/>
  <c r="AB41" i="1"/>
  <c r="V41" i="1"/>
  <c r="AC41" i="1"/>
  <c r="W41" i="1"/>
  <c r="AD41" i="1"/>
  <c r="X41" i="1"/>
  <c r="AE41" i="1"/>
  <c r="AQ7" i="1"/>
  <c r="AQ41" i="1" s="1"/>
  <c r="AP163" i="1"/>
  <c r="AP10" i="1"/>
  <c r="AP8" i="1"/>
  <c r="M42" i="1" l="1"/>
  <c r="N42" i="1"/>
  <c r="O42" i="1"/>
  <c r="P42" i="1"/>
  <c r="Q42" i="1"/>
  <c r="AH42" i="1"/>
  <c r="AI42" i="1"/>
  <c r="AJ42" i="1"/>
  <c r="AC42" i="1"/>
  <c r="AO42" i="1"/>
  <c r="AK42" i="1"/>
  <c r="AP42" i="1"/>
  <c r="AL42" i="1"/>
  <c r="AQ42" i="1"/>
  <c r="AB42" i="1"/>
  <c r="V42" i="1"/>
  <c r="AD42" i="1"/>
  <c r="W42" i="1"/>
  <c r="AE42" i="1"/>
  <c r="X42" i="1"/>
  <c r="T42" i="1"/>
  <c r="AA42" i="1"/>
  <c r="U42" i="1"/>
  <c r="AQ11" i="1"/>
  <c r="AQ12" i="1"/>
  <c r="AQ13" i="1"/>
  <c r="AQ14" i="1"/>
  <c r="AQ15" i="1"/>
  <c r="AQ16" i="1"/>
  <c r="AQ17" i="1"/>
  <c r="AQ18" i="1"/>
  <c r="AQ19" i="1"/>
  <c r="AQ20" i="1"/>
  <c r="AQ21" i="1"/>
  <c r="AQ22" i="1"/>
  <c r="AQ23" i="1"/>
  <c r="AQ24" i="1"/>
  <c r="AQ26" i="1"/>
  <c r="AQ27" i="1"/>
  <c r="AQ28" i="1"/>
  <c r="AQ29" i="1"/>
  <c r="AQ31" i="1"/>
  <c r="AQ32" i="1"/>
  <c r="AQ33" i="1"/>
  <c r="AQ34" i="1"/>
  <c r="AQ35" i="1"/>
  <c r="AQ36" i="1"/>
  <c r="AQ37" i="1"/>
  <c r="AQ38" i="1"/>
  <c r="AQ39" i="1"/>
  <c r="AQ40" i="1"/>
  <c r="R42" i="1"/>
  <c r="S42" i="1"/>
  <c r="AF42" i="1"/>
  <c r="Y42" i="1"/>
  <c r="Z42" i="1"/>
  <c r="AG42" i="1"/>
  <c r="AM42" i="1"/>
  <c r="AN42" i="1"/>
  <c r="I42" i="1" a="1"/>
  <c r="I42" i="1" s="1"/>
  <c r="H43" i="1" s="1"/>
  <c r="AQ8" i="1"/>
  <c r="AQ10" i="1"/>
  <c r="AQ163" i="1"/>
  <c r="AR7" i="1"/>
  <c r="H44" i="1" l="1"/>
  <c r="O43" i="1"/>
  <c r="P43" i="1"/>
  <c r="Q43" i="1"/>
  <c r="M43" i="1"/>
  <c r="N43" i="1"/>
  <c r="AR11" i="1"/>
  <c r="AR12" i="1"/>
  <c r="AR13" i="1"/>
  <c r="AR14" i="1"/>
  <c r="AR15" i="1"/>
  <c r="AR16" i="1"/>
  <c r="AR17" i="1"/>
  <c r="AR18" i="1"/>
  <c r="AR19" i="1"/>
  <c r="AR20" i="1"/>
  <c r="AR21" i="1"/>
  <c r="AR22" i="1"/>
  <c r="AR23" i="1"/>
  <c r="AR24" i="1"/>
  <c r="AR26" i="1"/>
  <c r="AR27" i="1"/>
  <c r="AR28" i="1"/>
  <c r="AR29" i="1"/>
  <c r="AR31" i="1"/>
  <c r="AR32" i="1"/>
  <c r="AR33" i="1"/>
  <c r="AR34" i="1"/>
  <c r="AR35" i="1"/>
  <c r="AR37" i="1"/>
  <c r="AR36" i="1"/>
  <c r="AR38" i="1"/>
  <c r="AR39" i="1"/>
  <c r="AR40" i="1"/>
  <c r="AR41" i="1"/>
  <c r="I43" i="1" a="1"/>
  <c r="I43" i="1" s="1"/>
  <c r="AO43" i="1"/>
  <c r="AP43" i="1"/>
  <c r="AQ43" i="1"/>
  <c r="AI43" i="1"/>
  <c r="AR43" i="1"/>
  <c r="AJ43" i="1"/>
  <c r="AK43" i="1"/>
  <c r="AL43" i="1"/>
  <c r="AH43" i="1"/>
  <c r="AA43" i="1"/>
  <c r="T43" i="1"/>
  <c r="V43" i="1"/>
  <c r="AB43" i="1"/>
  <c r="AC43" i="1"/>
  <c r="U43" i="1"/>
  <c r="W43" i="1"/>
  <c r="X43" i="1"/>
  <c r="AE43" i="1"/>
  <c r="AD43" i="1"/>
  <c r="AR42" i="1"/>
  <c r="AR10" i="1"/>
  <c r="AS7" i="1"/>
  <c r="AS43" i="1" s="1"/>
  <c r="AR163" i="1"/>
  <c r="AR8" i="1"/>
  <c r="M44" i="1" l="1"/>
  <c r="N44" i="1"/>
  <c r="O44" i="1"/>
  <c r="P44" i="1"/>
  <c r="Q44" i="1"/>
  <c r="AS11" i="1"/>
  <c r="AS13" i="1"/>
  <c r="AS12" i="1"/>
  <c r="AS14" i="1"/>
  <c r="AS15" i="1"/>
  <c r="AS16" i="1"/>
  <c r="AS17" i="1"/>
  <c r="AS18" i="1"/>
  <c r="AS19" i="1"/>
  <c r="AS20" i="1"/>
  <c r="AS21" i="1"/>
  <c r="AS22" i="1"/>
  <c r="AS23" i="1"/>
  <c r="AS24" i="1"/>
  <c r="AS26" i="1"/>
  <c r="AS27" i="1"/>
  <c r="AS28" i="1"/>
  <c r="AS29" i="1"/>
  <c r="AS31" i="1"/>
  <c r="AS32" i="1"/>
  <c r="AS33" i="1"/>
  <c r="AS34" i="1"/>
  <c r="AS35" i="1"/>
  <c r="AS37" i="1"/>
  <c r="AS36" i="1"/>
  <c r="AS38" i="1"/>
  <c r="AS39" i="1"/>
  <c r="AS40" i="1"/>
  <c r="AS41" i="1"/>
  <c r="AS42" i="1"/>
  <c r="I44" i="1" a="1"/>
  <c r="I44" i="1" s="1"/>
  <c r="H45" i="1" s="1"/>
  <c r="AP44" i="1"/>
  <c r="AQ44" i="1"/>
  <c r="AR44" i="1"/>
  <c r="AS44" i="1"/>
  <c r="AL44" i="1"/>
  <c r="AO44" i="1"/>
  <c r="AA44" i="1"/>
  <c r="AB44" i="1"/>
  <c r="T44" i="1"/>
  <c r="AC44" i="1"/>
  <c r="U44" i="1"/>
  <c r="AD44" i="1"/>
  <c r="V44" i="1"/>
  <c r="AE44" i="1"/>
  <c r="W44" i="1"/>
  <c r="AH44" i="1"/>
  <c r="X44" i="1"/>
  <c r="AI44" i="1"/>
  <c r="AJ44" i="1"/>
  <c r="AK44" i="1"/>
  <c r="AT7" i="1"/>
  <c r="AS163" i="1"/>
  <c r="AS10" i="1"/>
  <c r="AS8" i="1"/>
  <c r="M45" i="1" l="1"/>
  <c r="N45" i="1"/>
  <c r="O45" i="1"/>
  <c r="P45" i="1"/>
  <c r="Q45" i="1"/>
  <c r="I45" i="1" a="1"/>
  <c r="I45" i="1" s="1"/>
  <c r="H46" i="1" s="1"/>
  <c r="AT46" i="1" s="1"/>
  <c r="AS45" i="1"/>
  <c r="AH45" i="1"/>
  <c r="AI45" i="1"/>
  <c r="AJ45" i="1"/>
  <c r="AK45" i="1"/>
  <c r="AD45" i="1"/>
  <c r="AL45" i="1"/>
  <c r="W45" i="1"/>
  <c r="X45" i="1"/>
  <c r="AA45" i="1"/>
  <c r="AO45" i="1"/>
  <c r="AB45" i="1"/>
  <c r="T45" i="1"/>
  <c r="AP45" i="1"/>
  <c r="AC45" i="1"/>
  <c r="U45" i="1"/>
  <c r="AE45" i="1"/>
  <c r="V45" i="1"/>
  <c r="AQ45" i="1"/>
  <c r="AR45" i="1"/>
  <c r="AT14" i="1"/>
  <c r="AT11" i="1"/>
  <c r="AT8" i="1"/>
  <c r="AT39" i="1"/>
  <c r="AT42" i="1"/>
  <c r="AT37" i="1"/>
  <c r="AT10" i="1"/>
  <c r="AT34" i="1"/>
  <c r="AT31" i="1"/>
  <c r="AT29" i="1"/>
  <c r="AT28" i="1"/>
  <c r="AT163" i="1"/>
  <c r="AT40" i="1"/>
  <c r="AT27" i="1"/>
  <c r="AT21" i="1"/>
  <c r="AU7" i="1"/>
  <c r="AT38" i="1"/>
  <c r="AT15" i="1"/>
  <c r="AT36" i="1"/>
  <c r="P46" i="1" l="1"/>
  <c r="Q46" i="1"/>
  <c r="M46" i="1"/>
  <c r="N46" i="1"/>
  <c r="O46" i="1"/>
  <c r="AU42" i="1"/>
  <c r="AU11" i="1"/>
  <c r="AO46" i="1"/>
  <c r="AP46" i="1"/>
  <c r="AQ46" i="1"/>
  <c r="AR46" i="1"/>
  <c r="AJ46" i="1"/>
  <c r="AS46" i="1"/>
  <c r="AK46" i="1"/>
  <c r="AL46" i="1"/>
  <c r="AH46" i="1"/>
  <c r="AI46" i="1"/>
  <c r="AA46" i="1"/>
  <c r="AB46" i="1"/>
  <c r="AC46" i="1"/>
  <c r="T46" i="1"/>
  <c r="AD46" i="1"/>
  <c r="U46" i="1"/>
  <c r="V46" i="1"/>
  <c r="W46" i="1"/>
  <c r="AE46" i="1"/>
  <c r="X46" i="1"/>
  <c r="I46" i="1" a="1"/>
  <c r="I46" i="1" s="1"/>
  <c r="H47" i="1" s="1"/>
  <c r="AM46" i="1"/>
  <c r="S46" i="1"/>
  <c r="AG46" i="1"/>
  <c r="AF46" i="1"/>
  <c r="AN46" i="1"/>
  <c r="Y46" i="1"/>
  <c r="Z46" i="1"/>
  <c r="R46" i="1"/>
  <c r="AU8" i="1"/>
  <c r="AU39" i="1"/>
  <c r="AU21" i="1"/>
  <c r="AU10" i="1"/>
  <c r="AU14" i="1"/>
  <c r="AU46" i="1"/>
  <c r="AU29" i="1"/>
  <c r="AU28" i="1"/>
  <c r="AU163" i="1"/>
  <c r="AU38" i="1"/>
  <c r="AU40" i="1"/>
  <c r="AU36" i="1"/>
  <c r="AU31" i="1"/>
  <c r="AU37" i="1"/>
  <c r="AU15" i="1"/>
  <c r="AU34" i="1"/>
  <c r="AU27" i="1"/>
  <c r="AV7" i="1"/>
  <c r="AV46" i="1" s="1"/>
  <c r="AU47" i="1" l="1"/>
  <c r="M47" i="1"/>
  <c r="N47" i="1"/>
  <c r="O47" i="1"/>
  <c r="P47" i="1"/>
  <c r="Q47" i="1"/>
  <c r="AV11" i="1"/>
  <c r="AV12" i="1"/>
  <c r="AV13" i="1"/>
  <c r="AV14" i="1"/>
  <c r="AV15" i="1"/>
  <c r="AV16" i="1"/>
  <c r="AV17" i="1"/>
  <c r="AV18" i="1"/>
  <c r="AV19" i="1"/>
  <c r="AV20" i="1"/>
  <c r="AV21" i="1"/>
  <c r="AV22" i="1"/>
  <c r="AV23" i="1"/>
  <c r="AV24" i="1"/>
  <c r="AV26" i="1"/>
  <c r="AV27" i="1"/>
  <c r="AV28" i="1"/>
  <c r="AV29" i="1"/>
  <c r="AV31" i="1"/>
  <c r="AV32" i="1"/>
  <c r="AV33" i="1"/>
  <c r="AV34" i="1"/>
  <c r="AV35" i="1"/>
  <c r="AV36" i="1"/>
  <c r="AV37" i="1"/>
  <c r="AV38" i="1"/>
  <c r="AV39" i="1"/>
  <c r="AV40" i="1"/>
  <c r="AV41" i="1"/>
  <c r="AV42" i="1"/>
  <c r="AV43" i="1"/>
  <c r="AV44" i="1"/>
  <c r="AV45" i="1"/>
  <c r="AV47" i="1"/>
  <c r="AQ47" i="1"/>
  <c r="AR47" i="1"/>
  <c r="AS47" i="1"/>
  <c r="AO47" i="1"/>
  <c r="AP47" i="1"/>
  <c r="AH47" i="1"/>
  <c r="AB47" i="1"/>
  <c r="AI47" i="1"/>
  <c r="AE47" i="1"/>
  <c r="U47" i="1"/>
  <c r="AJ47" i="1"/>
  <c r="V47" i="1"/>
  <c r="AK47" i="1"/>
  <c r="W47" i="1"/>
  <c r="AL47" i="1"/>
  <c r="X47" i="1"/>
  <c r="AA47" i="1"/>
  <c r="AC47" i="1"/>
  <c r="T47" i="1"/>
  <c r="AD47" i="1"/>
  <c r="Y47" i="1"/>
  <c r="S47" i="1"/>
  <c r="AM47" i="1"/>
  <c r="AN47" i="1"/>
  <c r="Z47" i="1"/>
  <c r="AT47" i="1"/>
  <c r="R47" i="1"/>
  <c r="AG47" i="1"/>
  <c r="I47" i="1" a="1"/>
  <c r="I47" i="1" s="1"/>
  <c r="H48" i="1" s="1"/>
  <c r="AF47" i="1"/>
  <c r="AV10" i="1"/>
  <c r="AV163" i="1"/>
  <c r="AV8" i="1"/>
  <c r="AW7" i="1"/>
  <c r="AW47" i="1" s="1"/>
  <c r="AV6" i="1"/>
  <c r="N48" i="1" l="1"/>
  <c r="O48" i="1"/>
  <c r="P48" i="1"/>
  <c r="Q48" i="1"/>
  <c r="M48" i="1"/>
  <c r="I48" i="1" a="1"/>
  <c r="I48" i="1" s="1"/>
  <c r="H49" i="1" s="1"/>
  <c r="Z49" i="1" s="1"/>
  <c r="AO48" i="1"/>
  <c r="AH48" i="1"/>
  <c r="AV48" i="1"/>
  <c r="AI48" i="1"/>
  <c r="AW48" i="1"/>
  <c r="AJ48" i="1"/>
  <c r="AK48" i="1"/>
  <c r="AP48" i="1"/>
  <c r="AL48" i="1"/>
  <c r="AE48" i="1"/>
  <c r="AQ48" i="1"/>
  <c r="AR48" i="1"/>
  <c r="AS48" i="1"/>
  <c r="X48" i="1"/>
  <c r="AA48" i="1"/>
  <c r="AB48" i="1"/>
  <c r="AC48" i="1"/>
  <c r="AD48" i="1"/>
  <c r="T48" i="1"/>
  <c r="U48" i="1"/>
  <c r="V48" i="1"/>
  <c r="W48" i="1"/>
  <c r="AW11" i="1"/>
  <c r="AW13" i="1"/>
  <c r="AW12" i="1"/>
  <c r="AW14" i="1"/>
  <c r="AW15" i="1"/>
  <c r="AW16" i="1"/>
  <c r="AW17" i="1"/>
  <c r="AW18" i="1"/>
  <c r="AW19" i="1"/>
  <c r="AW20" i="1"/>
  <c r="AW21" i="1"/>
  <c r="AW22" i="1"/>
  <c r="AW23" i="1"/>
  <c r="AW24" i="1"/>
  <c r="AW26" i="1"/>
  <c r="AW27" i="1"/>
  <c r="AW28" i="1"/>
  <c r="AW29" i="1"/>
  <c r="AW31" i="1"/>
  <c r="AW32" i="1"/>
  <c r="AW33" i="1"/>
  <c r="AW34" i="1"/>
  <c r="AW35" i="1"/>
  <c r="AW36" i="1"/>
  <c r="AW37" i="1"/>
  <c r="AW38" i="1"/>
  <c r="AW39" i="1"/>
  <c r="AW40" i="1"/>
  <c r="AW41" i="1"/>
  <c r="AW42" i="1"/>
  <c r="AW43" i="1"/>
  <c r="AW44" i="1"/>
  <c r="AW45" i="1"/>
  <c r="AW46" i="1"/>
  <c r="AX7" i="1"/>
  <c r="AX48" i="1" s="1"/>
  <c r="AW10" i="1"/>
  <c r="AW163" i="1"/>
  <c r="AW8" i="1"/>
  <c r="I49" i="1" l="1" a="1"/>
  <c r="I49" i="1" s="1"/>
  <c r="Y49" i="1"/>
  <c r="AT49" i="1"/>
  <c r="AN49" i="1"/>
  <c r="AM49" i="1"/>
  <c r="S49" i="1"/>
  <c r="Q49" i="1"/>
  <c r="M49" i="1"/>
  <c r="N49" i="1"/>
  <c r="O49" i="1"/>
  <c r="P49" i="1"/>
  <c r="AF49" i="1"/>
  <c r="AG49" i="1"/>
  <c r="AU49" i="1"/>
  <c r="R49" i="1"/>
  <c r="AX11" i="1"/>
  <c r="AX12" i="1"/>
  <c r="AX13" i="1"/>
  <c r="AX14" i="1"/>
  <c r="AX15" i="1"/>
  <c r="AX16" i="1"/>
  <c r="AX17" i="1"/>
  <c r="AX18" i="1"/>
  <c r="AX19" i="1"/>
  <c r="AX20" i="1"/>
  <c r="AX21" i="1"/>
  <c r="AX22" i="1"/>
  <c r="AX23" i="1"/>
  <c r="AX24" i="1"/>
  <c r="AX26" i="1"/>
  <c r="AX27" i="1"/>
  <c r="AX28" i="1"/>
  <c r="AX29" i="1"/>
  <c r="AX31" i="1"/>
  <c r="AX32" i="1"/>
  <c r="AX33" i="1"/>
  <c r="AX34" i="1"/>
  <c r="AX35" i="1"/>
  <c r="AX37" i="1"/>
  <c r="AX36" i="1"/>
  <c r="AX38" i="1"/>
  <c r="AX39" i="1"/>
  <c r="AX40" i="1"/>
  <c r="AX41" i="1"/>
  <c r="AX42" i="1"/>
  <c r="AX43" i="1"/>
  <c r="AX44" i="1"/>
  <c r="AX45" i="1"/>
  <c r="AX46" i="1"/>
  <c r="AX47" i="1"/>
  <c r="AV49" i="1"/>
  <c r="AW49" i="1"/>
  <c r="AX49" i="1"/>
  <c r="AO49" i="1"/>
  <c r="AP49" i="1"/>
  <c r="AQ49" i="1"/>
  <c r="AR49" i="1"/>
  <c r="AS49" i="1"/>
  <c r="AK49" i="1"/>
  <c r="AL49" i="1"/>
  <c r="AH49" i="1"/>
  <c r="AI49" i="1"/>
  <c r="AJ49" i="1"/>
  <c r="AD49" i="1"/>
  <c r="AE49" i="1"/>
  <c r="T49" i="1"/>
  <c r="U49" i="1"/>
  <c r="V49" i="1"/>
  <c r="AA49" i="1"/>
  <c r="W49" i="1"/>
  <c r="AB49" i="1"/>
  <c r="AC49" i="1"/>
  <c r="X49" i="1"/>
  <c r="H50" i="1"/>
  <c r="AX10" i="1"/>
  <c r="AY7" i="1"/>
  <c r="AY49" i="1" s="1"/>
  <c r="AX8" i="1"/>
  <c r="AX163" i="1"/>
  <c r="H51" i="1" l="1"/>
  <c r="M50" i="1"/>
  <c r="N50" i="1"/>
  <c r="O50" i="1"/>
  <c r="Q50" i="1"/>
  <c r="P50" i="1"/>
  <c r="AY11" i="1"/>
  <c r="AY13" i="1"/>
  <c r="AY12" i="1"/>
  <c r="AY14" i="1"/>
  <c r="AY15" i="1"/>
  <c r="AY16" i="1"/>
  <c r="AY17" i="1"/>
  <c r="AY18" i="1"/>
  <c r="AY19" i="1"/>
  <c r="AY20" i="1"/>
  <c r="AY21" i="1"/>
  <c r="AY22" i="1"/>
  <c r="AY23" i="1"/>
  <c r="AY24" i="1"/>
  <c r="AY26" i="1"/>
  <c r="AY27" i="1"/>
  <c r="AY28" i="1"/>
  <c r="AY29" i="1"/>
  <c r="AY31" i="1"/>
  <c r="AY32" i="1"/>
  <c r="AY33" i="1"/>
  <c r="AY34" i="1"/>
  <c r="AY35" i="1"/>
  <c r="AY36" i="1"/>
  <c r="AY37" i="1"/>
  <c r="AY38" i="1"/>
  <c r="AY39" i="1"/>
  <c r="AY40" i="1"/>
  <c r="AY41" i="1"/>
  <c r="AY42" i="1"/>
  <c r="AY43" i="1"/>
  <c r="AY44" i="1"/>
  <c r="AY45" i="1"/>
  <c r="AY46" i="1"/>
  <c r="AY47" i="1"/>
  <c r="AY48" i="1"/>
  <c r="I50" i="1" a="1"/>
  <c r="I50" i="1" s="1"/>
  <c r="AW50" i="1"/>
  <c r="AX50" i="1"/>
  <c r="AY50" i="1"/>
  <c r="AR50" i="1"/>
  <c r="AS50" i="1"/>
  <c r="AV50" i="1"/>
  <c r="AO50" i="1"/>
  <c r="AP50" i="1"/>
  <c r="AH50" i="1"/>
  <c r="AQ50" i="1"/>
  <c r="AI50" i="1"/>
  <c r="AC50" i="1"/>
  <c r="V50" i="1"/>
  <c r="W50" i="1"/>
  <c r="AA50" i="1"/>
  <c r="X50" i="1"/>
  <c r="AB50" i="1"/>
  <c r="AJ50" i="1"/>
  <c r="AD50" i="1"/>
  <c r="AE50" i="1"/>
  <c r="AK50" i="1"/>
  <c r="T50" i="1"/>
  <c r="U50" i="1"/>
  <c r="AL50" i="1"/>
  <c r="AY8" i="1"/>
  <c r="AY163" i="1"/>
  <c r="AY10" i="1"/>
  <c r="AZ7" i="1"/>
  <c r="AZ50" i="1" s="1"/>
  <c r="O51" i="1" l="1"/>
  <c r="P51" i="1"/>
  <c r="Q51" i="1"/>
  <c r="M51" i="1"/>
  <c r="N51" i="1"/>
  <c r="I51" i="1" a="1"/>
  <c r="I51" i="1" s="1"/>
  <c r="H52" i="1" s="1"/>
  <c r="AZ51" i="1"/>
  <c r="AO51" i="1"/>
  <c r="AP51" i="1"/>
  <c r="AI51" i="1"/>
  <c r="AJ51" i="1"/>
  <c r="AK51" i="1"/>
  <c r="AL51" i="1"/>
  <c r="AV51" i="1"/>
  <c r="AQ51" i="1"/>
  <c r="AC51" i="1"/>
  <c r="AW51" i="1"/>
  <c r="AR51" i="1"/>
  <c r="AD51" i="1"/>
  <c r="AX51" i="1"/>
  <c r="AS51" i="1"/>
  <c r="AE51" i="1"/>
  <c r="AY51" i="1"/>
  <c r="T51" i="1"/>
  <c r="U51" i="1"/>
  <c r="V51" i="1"/>
  <c r="W51" i="1"/>
  <c r="X51" i="1"/>
  <c r="AA51" i="1"/>
  <c r="AB51" i="1"/>
  <c r="AH51" i="1"/>
  <c r="AZ11" i="1"/>
  <c r="AZ12" i="1"/>
  <c r="AZ13" i="1"/>
  <c r="AZ14" i="1"/>
  <c r="AZ15" i="1"/>
  <c r="AZ16" i="1"/>
  <c r="AZ17" i="1"/>
  <c r="AZ18" i="1"/>
  <c r="AZ19" i="1"/>
  <c r="AZ20" i="1"/>
  <c r="AZ21" i="1"/>
  <c r="AZ22" i="1"/>
  <c r="AZ23" i="1"/>
  <c r="AZ24" i="1"/>
  <c r="AZ26" i="1"/>
  <c r="AZ27" i="1"/>
  <c r="AZ28" i="1"/>
  <c r="AZ29" i="1"/>
  <c r="AZ31" i="1"/>
  <c r="AZ32" i="1"/>
  <c r="AZ33" i="1"/>
  <c r="AZ34" i="1"/>
  <c r="AZ35" i="1"/>
  <c r="AZ36" i="1"/>
  <c r="AZ37" i="1"/>
  <c r="AZ38" i="1"/>
  <c r="AZ39" i="1"/>
  <c r="AZ40" i="1"/>
  <c r="AZ41" i="1"/>
  <c r="AZ42" i="1"/>
  <c r="AZ43" i="1"/>
  <c r="AZ44" i="1"/>
  <c r="AZ45" i="1"/>
  <c r="AZ46" i="1"/>
  <c r="AZ47" i="1"/>
  <c r="AZ48" i="1"/>
  <c r="AZ49" i="1"/>
  <c r="AZ163" i="1"/>
  <c r="AZ10" i="1"/>
  <c r="BA7" i="1"/>
  <c r="AZ8" i="1"/>
  <c r="M52" i="1" l="1"/>
  <c r="N52" i="1"/>
  <c r="O52" i="1"/>
  <c r="P52" i="1"/>
  <c r="Q52" i="1"/>
  <c r="BA8" i="1"/>
  <c r="BA11" i="1"/>
  <c r="I52" i="1" a="1"/>
  <c r="I52" i="1" s="1"/>
  <c r="H53" i="1" s="1"/>
  <c r="AV52" i="1"/>
  <c r="AW52" i="1"/>
  <c r="AX52" i="1"/>
  <c r="AY52" i="1"/>
  <c r="AP52" i="1"/>
  <c r="AZ52" i="1"/>
  <c r="AQ52" i="1"/>
  <c r="AR52" i="1"/>
  <c r="AS52" i="1"/>
  <c r="AL52" i="1"/>
  <c r="AH52" i="1"/>
  <c r="AA52" i="1"/>
  <c r="AI52" i="1"/>
  <c r="AJ52" i="1"/>
  <c r="AK52" i="1"/>
  <c r="T52" i="1"/>
  <c r="U52" i="1"/>
  <c r="V52" i="1"/>
  <c r="AO52" i="1"/>
  <c r="AB52" i="1"/>
  <c r="W52" i="1"/>
  <c r="AC52" i="1"/>
  <c r="X52" i="1"/>
  <c r="AD52" i="1"/>
  <c r="AE52" i="1"/>
  <c r="BA28" i="1"/>
  <c r="BA21" i="1"/>
  <c r="BA27" i="1"/>
  <c r="BA49" i="1"/>
  <c r="BA39" i="1"/>
  <c r="BA38" i="1"/>
  <c r="BA15" i="1"/>
  <c r="BA37" i="1"/>
  <c r="BA46" i="1"/>
  <c r="BA29" i="1"/>
  <c r="BA10" i="1"/>
  <c r="BB7" i="1"/>
  <c r="BA47" i="1"/>
  <c r="BA36" i="1"/>
  <c r="BA14" i="1"/>
  <c r="BA40" i="1"/>
  <c r="BA34" i="1"/>
  <c r="BA163" i="1"/>
  <c r="BA42" i="1"/>
  <c r="BA31" i="1"/>
  <c r="M53" i="1" l="1"/>
  <c r="N53" i="1"/>
  <c r="O53" i="1"/>
  <c r="P53" i="1"/>
  <c r="Q53" i="1"/>
  <c r="BB29" i="1"/>
  <c r="BB11" i="1"/>
  <c r="I53" i="1" a="1"/>
  <c r="I53" i="1" s="1"/>
  <c r="H54" i="1" s="1"/>
  <c r="AX53" i="1"/>
  <c r="AY53" i="1"/>
  <c r="AZ53" i="1"/>
  <c r="AS53" i="1"/>
  <c r="AV53" i="1"/>
  <c r="AW53" i="1"/>
  <c r="AO53" i="1"/>
  <c r="AP53" i="1"/>
  <c r="AH53" i="1"/>
  <c r="AQ53" i="1"/>
  <c r="AI53" i="1"/>
  <c r="AR53" i="1"/>
  <c r="AJ53" i="1"/>
  <c r="AD53" i="1"/>
  <c r="AK53" i="1"/>
  <c r="AB53" i="1"/>
  <c r="W53" i="1"/>
  <c r="AL53" i="1"/>
  <c r="AC53" i="1"/>
  <c r="X53" i="1"/>
  <c r="AE53" i="1"/>
  <c r="T53" i="1"/>
  <c r="AA53" i="1"/>
  <c r="U53" i="1"/>
  <c r="V53" i="1"/>
  <c r="BB46" i="1"/>
  <c r="BB27" i="1"/>
  <c r="BB21" i="1"/>
  <c r="BB40" i="1"/>
  <c r="BB15" i="1"/>
  <c r="BB14" i="1"/>
  <c r="BB38" i="1"/>
  <c r="BB37" i="1"/>
  <c r="BC7" i="1"/>
  <c r="BB36" i="1"/>
  <c r="BB10" i="1"/>
  <c r="BB42" i="1"/>
  <c r="BB28" i="1"/>
  <c r="BB163" i="1"/>
  <c r="BB39" i="1"/>
  <c r="BB31" i="1"/>
  <c r="BB8" i="1"/>
  <c r="BB34" i="1"/>
  <c r="BB49" i="1"/>
  <c r="BB47" i="1"/>
  <c r="P54" i="1" l="1"/>
  <c r="Q54" i="1"/>
  <c r="M54" i="1"/>
  <c r="N54" i="1"/>
  <c r="O54" i="1"/>
  <c r="I54" i="1" a="1"/>
  <c r="I54" i="1" s="1"/>
  <c r="H55" i="1" s="1"/>
  <c r="BC54" i="1"/>
  <c r="AV54" i="1"/>
  <c r="AO54" i="1"/>
  <c r="AP54" i="1"/>
  <c r="AQ54" i="1"/>
  <c r="AW54" i="1"/>
  <c r="AJ54" i="1"/>
  <c r="AX54" i="1"/>
  <c r="AK54" i="1"/>
  <c r="AY54" i="1"/>
  <c r="AL54" i="1"/>
  <c r="AZ54" i="1"/>
  <c r="AR54" i="1"/>
  <c r="AS54" i="1"/>
  <c r="AH54" i="1"/>
  <c r="T54" i="1"/>
  <c r="AI54" i="1"/>
  <c r="AA54" i="1"/>
  <c r="U54" i="1"/>
  <c r="V54" i="1"/>
  <c r="W54" i="1"/>
  <c r="AB54" i="1"/>
  <c r="AC54" i="1"/>
  <c r="X54" i="1"/>
  <c r="AD54" i="1"/>
  <c r="AE54" i="1"/>
  <c r="BC11" i="1"/>
  <c r="BC12" i="1"/>
  <c r="BC13" i="1"/>
  <c r="BC14" i="1"/>
  <c r="BC15" i="1"/>
  <c r="BC16" i="1"/>
  <c r="BC17" i="1"/>
  <c r="BC18" i="1"/>
  <c r="BC19" i="1"/>
  <c r="BC20" i="1"/>
  <c r="BC21" i="1"/>
  <c r="BC22" i="1"/>
  <c r="BC23" i="1"/>
  <c r="BC24" i="1"/>
  <c r="BC26" i="1"/>
  <c r="BC27" i="1"/>
  <c r="BC28" i="1"/>
  <c r="BC29" i="1"/>
  <c r="BC31" i="1"/>
  <c r="BC32" i="1"/>
  <c r="BC33" i="1"/>
  <c r="BC34" i="1"/>
  <c r="BC35" i="1"/>
  <c r="BC37" i="1"/>
  <c r="BC36" i="1"/>
  <c r="BC38" i="1"/>
  <c r="BC39" i="1"/>
  <c r="BC40" i="1"/>
  <c r="BC41" i="1"/>
  <c r="BC42" i="1"/>
  <c r="BC43" i="1"/>
  <c r="BC44" i="1"/>
  <c r="BC45" i="1"/>
  <c r="BC46" i="1"/>
  <c r="BC47" i="1"/>
  <c r="BC48" i="1"/>
  <c r="BC49" i="1"/>
  <c r="BC50" i="1"/>
  <c r="BC51" i="1"/>
  <c r="BC52" i="1"/>
  <c r="BC53" i="1"/>
  <c r="BD7" i="1"/>
  <c r="BC6" i="1"/>
  <c r="BC163" i="1"/>
  <c r="BC10" i="1"/>
  <c r="BC8" i="1"/>
  <c r="M55" i="1" l="1"/>
  <c r="N55" i="1"/>
  <c r="O55" i="1"/>
  <c r="P55" i="1"/>
  <c r="Q55" i="1"/>
  <c r="BD11" i="1"/>
  <c r="BD12" i="1"/>
  <c r="BD13" i="1"/>
  <c r="BD14" i="1"/>
  <c r="BD15" i="1"/>
  <c r="BD16" i="1"/>
  <c r="BD17" i="1"/>
  <c r="BD18" i="1"/>
  <c r="BD19" i="1"/>
  <c r="BD20" i="1"/>
  <c r="BD21" i="1"/>
  <c r="BD22" i="1"/>
  <c r="BD23" i="1"/>
  <c r="BD24" i="1"/>
  <c r="BD26" i="1"/>
  <c r="BD27" i="1"/>
  <c r="BD28" i="1"/>
  <c r="BD29" i="1"/>
  <c r="BD31" i="1"/>
  <c r="BD32" i="1"/>
  <c r="BD33" i="1"/>
  <c r="BD34" i="1"/>
  <c r="BD35" i="1"/>
  <c r="BD37" i="1"/>
  <c r="BD36" i="1"/>
  <c r="BD38" i="1"/>
  <c r="BD39" i="1"/>
  <c r="BD40" i="1"/>
  <c r="BD41" i="1"/>
  <c r="BD42" i="1"/>
  <c r="BD43" i="1"/>
  <c r="BD44" i="1"/>
  <c r="BD45" i="1"/>
  <c r="BD46" i="1"/>
  <c r="BD47" i="1"/>
  <c r="BD48" i="1"/>
  <c r="BD49" i="1"/>
  <c r="BD50" i="1"/>
  <c r="BD51" i="1"/>
  <c r="BD52" i="1"/>
  <c r="BD53" i="1"/>
  <c r="BD54" i="1"/>
  <c r="I55" i="1" a="1"/>
  <c r="I55" i="1" s="1"/>
  <c r="H56" i="1" s="1"/>
  <c r="AV55" i="1"/>
  <c r="AW55" i="1"/>
  <c r="AX55" i="1"/>
  <c r="AY55" i="1"/>
  <c r="AZ55" i="1"/>
  <c r="AQ55" i="1"/>
  <c r="AR55" i="1"/>
  <c r="AS55" i="1"/>
  <c r="BC55" i="1"/>
  <c r="BD55" i="1"/>
  <c r="AH55" i="1"/>
  <c r="AI55" i="1"/>
  <c r="AB55" i="1"/>
  <c r="AJ55" i="1"/>
  <c r="AO55" i="1"/>
  <c r="AK55" i="1"/>
  <c r="AP55" i="1"/>
  <c r="AL55" i="1"/>
  <c r="AA55" i="1"/>
  <c r="U55" i="1"/>
  <c r="AC55" i="1"/>
  <c r="V55" i="1"/>
  <c r="AD55" i="1"/>
  <c r="W55" i="1"/>
  <c r="AE55" i="1"/>
  <c r="X55" i="1"/>
  <c r="T55" i="1"/>
  <c r="BD8" i="1"/>
  <c r="BD10" i="1"/>
  <c r="BE7" i="1"/>
  <c r="BE55" i="1" s="1"/>
  <c r="BD163" i="1"/>
  <c r="N56" i="1" l="1"/>
  <c r="O56" i="1"/>
  <c r="P56" i="1"/>
  <c r="Q56" i="1"/>
  <c r="M56" i="1"/>
  <c r="I56" i="1" a="1"/>
  <c r="I56" i="1" s="1"/>
  <c r="H57" i="1" s="1"/>
  <c r="BC56" i="1"/>
  <c r="BD56" i="1"/>
  <c r="BE56" i="1"/>
  <c r="AY56" i="1"/>
  <c r="AZ56" i="1"/>
  <c r="AV56" i="1"/>
  <c r="AW56" i="1"/>
  <c r="AX56" i="1"/>
  <c r="AO56" i="1"/>
  <c r="AP56" i="1"/>
  <c r="AH56" i="1"/>
  <c r="AQ56" i="1"/>
  <c r="AI56" i="1"/>
  <c r="AR56" i="1"/>
  <c r="AJ56" i="1"/>
  <c r="AS56" i="1"/>
  <c r="AK56" i="1"/>
  <c r="AE56" i="1"/>
  <c r="X56" i="1"/>
  <c r="AL56" i="1"/>
  <c r="AA56" i="1"/>
  <c r="AB56" i="1"/>
  <c r="U56" i="1"/>
  <c r="AC56" i="1"/>
  <c r="T56" i="1"/>
  <c r="AD56" i="1"/>
  <c r="V56" i="1"/>
  <c r="W56" i="1"/>
  <c r="BE11" i="1"/>
  <c r="BE13" i="1"/>
  <c r="BE12" i="1"/>
  <c r="BE14" i="1"/>
  <c r="BE15" i="1"/>
  <c r="BE16" i="1"/>
  <c r="BE17" i="1"/>
  <c r="BE18" i="1"/>
  <c r="BE19" i="1"/>
  <c r="BE20" i="1"/>
  <c r="BE21" i="1"/>
  <c r="BE22" i="1"/>
  <c r="BE23" i="1"/>
  <c r="BE24" i="1"/>
  <c r="BE26" i="1"/>
  <c r="BE27" i="1"/>
  <c r="BE28" i="1"/>
  <c r="BE29" i="1"/>
  <c r="BE31" i="1"/>
  <c r="BE32" i="1"/>
  <c r="BE33" i="1"/>
  <c r="BE34" i="1"/>
  <c r="BE35" i="1"/>
  <c r="BE37" i="1"/>
  <c r="BE36" i="1"/>
  <c r="BE38" i="1"/>
  <c r="BE39" i="1"/>
  <c r="BE40" i="1"/>
  <c r="BE41" i="1"/>
  <c r="BE42" i="1"/>
  <c r="BE43" i="1"/>
  <c r="BE44" i="1"/>
  <c r="BE45" i="1"/>
  <c r="BE46" i="1"/>
  <c r="BE47" i="1"/>
  <c r="BE48" i="1"/>
  <c r="BE49" i="1"/>
  <c r="BE50" i="1"/>
  <c r="BE51" i="1"/>
  <c r="BE52" i="1"/>
  <c r="BE53" i="1"/>
  <c r="BE54" i="1"/>
  <c r="BE163" i="1"/>
  <c r="BE10" i="1"/>
  <c r="BF7" i="1"/>
  <c r="BE8" i="1"/>
  <c r="Q57" i="1" l="1"/>
  <c r="M57" i="1"/>
  <c r="N57" i="1"/>
  <c r="O57" i="1"/>
  <c r="P57" i="1"/>
  <c r="BF11" i="1"/>
  <c r="BF13" i="1"/>
  <c r="BF12" i="1"/>
  <c r="BF14" i="1"/>
  <c r="BF15" i="1"/>
  <c r="BF16" i="1"/>
  <c r="BF17" i="1"/>
  <c r="BF18" i="1"/>
  <c r="BF19" i="1"/>
  <c r="BF20" i="1"/>
  <c r="BF21" i="1"/>
  <c r="BF22" i="1"/>
  <c r="BF23" i="1"/>
  <c r="BF24" i="1"/>
  <c r="BF26" i="1"/>
  <c r="BF27" i="1"/>
  <c r="BF28" i="1"/>
  <c r="BF29" i="1"/>
  <c r="BF31" i="1"/>
  <c r="BF32" i="1"/>
  <c r="BF33" i="1"/>
  <c r="BF34" i="1"/>
  <c r="BF35" i="1"/>
  <c r="BF37" i="1"/>
  <c r="BF36" i="1"/>
  <c r="BF38" i="1"/>
  <c r="BF39" i="1"/>
  <c r="BF40" i="1"/>
  <c r="BF41" i="1"/>
  <c r="BF42" i="1"/>
  <c r="BF43" i="1"/>
  <c r="BF44" i="1"/>
  <c r="BF45" i="1"/>
  <c r="BF46" i="1"/>
  <c r="BF47" i="1"/>
  <c r="BF48" i="1"/>
  <c r="BF49" i="1"/>
  <c r="BF50" i="1"/>
  <c r="BF51" i="1"/>
  <c r="BF52" i="1"/>
  <c r="BF53" i="1"/>
  <c r="BF54" i="1"/>
  <c r="BF55" i="1"/>
  <c r="BF56" i="1"/>
  <c r="I57" i="1" a="1"/>
  <c r="I57" i="1" s="1"/>
  <c r="H58" i="1" s="1"/>
  <c r="BD57" i="1"/>
  <c r="BF57" i="1"/>
  <c r="BC57" i="1"/>
  <c r="BE57" i="1"/>
  <c r="AV57" i="1"/>
  <c r="AW57" i="1"/>
  <c r="AO57" i="1"/>
  <c r="AP57" i="1"/>
  <c r="AQ57" i="1"/>
  <c r="AR57" i="1"/>
  <c r="AK57" i="1"/>
  <c r="AL57" i="1"/>
  <c r="AX57" i="1"/>
  <c r="AY57" i="1"/>
  <c r="AZ57" i="1"/>
  <c r="AA57" i="1"/>
  <c r="AB57" i="1"/>
  <c r="T57" i="1"/>
  <c r="AC57" i="1"/>
  <c r="U57" i="1"/>
  <c r="AD57" i="1"/>
  <c r="V57" i="1"/>
  <c r="AS57" i="1"/>
  <c r="W57" i="1"/>
  <c r="AH57" i="1"/>
  <c r="X57" i="1"/>
  <c r="AI57" i="1"/>
  <c r="AJ57" i="1"/>
  <c r="AE57" i="1"/>
  <c r="BF10" i="1"/>
  <c r="BF8" i="1"/>
  <c r="BG7" i="1"/>
  <c r="BF163" i="1"/>
  <c r="M58" i="1" l="1"/>
  <c r="N58" i="1"/>
  <c r="O58" i="1"/>
  <c r="P58" i="1"/>
  <c r="Q58" i="1"/>
  <c r="I58" i="1" a="1"/>
  <c r="I58" i="1" s="1"/>
  <c r="H59" i="1" s="1"/>
  <c r="BG58" i="1"/>
  <c r="BD58" i="1"/>
  <c r="BE58" i="1"/>
  <c r="BF58" i="1"/>
  <c r="BC58" i="1"/>
  <c r="AW58" i="1"/>
  <c r="AX58" i="1"/>
  <c r="AY58" i="1"/>
  <c r="AZ58" i="1"/>
  <c r="AR58" i="1"/>
  <c r="AS58" i="1"/>
  <c r="AH58" i="1"/>
  <c r="AI58" i="1"/>
  <c r="AJ58" i="1"/>
  <c r="AC58" i="1"/>
  <c r="AK58" i="1"/>
  <c r="AL58" i="1"/>
  <c r="AV58" i="1"/>
  <c r="AE58" i="1"/>
  <c r="V58" i="1"/>
  <c r="W58" i="1"/>
  <c r="X58" i="1"/>
  <c r="AO58" i="1"/>
  <c r="AP58" i="1"/>
  <c r="T58" i="1"/>
  <c r="AQ58" i="1"/>
  <c r="U58" i="1"/>
  <c r="AA58" i="1"/>
  <c r="AB58" i="1"/>
  <c r="AD58" i="1"/>
  <c r="BG11" i="1"/>
  <c r="BG12" i="1"/>
  <c r="BG13" i="1"/>
  <c r="BG14" i="1"/>
  <c r="BG15" i="1"/>
  <c r="BG16" i="1"/>
  <c r="BG17" i="1"/>
  <c r="BG18" i="1"/>
  <c r="BG19" i="1"/>
  <c r="BG20" i="1"/>
  <c r="BG21" i="1"/>
  <c r="BG22" i="1"/>
  <c r="BG23" i="1"/>
  <c r="BG24" i="1"/>
  <c r="BG26" i="1"/>
  <c r="BG27" i="1"/>
  <c r="BG28" i="1"/>
  <c r="BG29" i="1"/>
  <c r="BG31" i="1"/>
  <c r="BG32" i="1"/>
  <c r="BG33" i="1"/>
  <c r="BG34" i="1"/>
  <c r="BG35" i="1"/>
  <c r="BG36" i="1"/>
  <c r="BG37" i="1"/>
  <c r="BG38" i="1"/>
  <c r="BG39" i="1"/>
  <c r="BG40" i="1"/>
  <c r="BG41" i="1"/>
  <c r="BG42" i="1"/>
  <c r="BG43" i="1"/>
  <c r="BG44" i="1"/>
  <c r="BG45" i="1"/>
  <c r="BG46" i="1"/>
  <c r="BG47" i="1"/>
  <c r="BG48" i="1"/>
  <c r="BG49" i="1"/>
  <c r="BG50" i="1"/>
  <c r="BG51" i="1"/>
  <c r="BG52" i="1"/>
  <c r="BG53" i="1"/>
  <c r="BG54" i="1"/>
  <c r="BG55" i="1"/>
  <c r="BG56" i="1"/>
  <c r="BG57" i="1"/>
  <c r="BG10" i="1"/>
  <c r="BH7" i="1"/>
  <c r="BH29" i="1" s="1"/>
  <c r="BG163" i="1"/>
  <c r="BG8" i="1"/>
  <c r="O59" i="1" l="1"/>
  <c r="P59" i="1"/>
  <c r="Q59" i="1"/>
  <c r="M59" i="1"/>
  <c r="N59" i="1"/>
  <c r="I59" i="1" a="1"/>
  <c r="I59" i="1" s="1"/>
  <c r="H60" i="1" s="1"/>
  <c r="BD59" i="1"/>
  <c r="BE59" i="1"/>
  <c r="BC59" i="1"/>
  <c r="BF59" i="1"/>
  <c r="BG59" i="1"/>
  <c r="AZ59" i="1"/>
  <c r="AV59" i="1"/>
  <c r="AW59" i="1"/>
  <c r="AX59" i="1"/>
  <c r="AO59" i="1"/>
  <c r="AY59" i="1"/>
  <c r="AP59" i="1"/>
  <c r="AQ59" i="1"/>
  <c r="AI59" i="1"/>
  <c r="AR59" i="1"/>
  <c r="AJ59" i="1"/>
  <c r="AS59" i="1"/>
  <c r="AK59" i="1"/>
  <c r="AL59" i="1"/>
  <c r="AH59" i="1"/>
  <c r="AA59" i="1"/>
  <c r="AB59" i="1"/>
  <c r="AC59" i="1"/>
  <c r="T59" i="1"/>
  <c r="AD59" i="1"/>
  <c r="AE59" i="1"/>
  <c r="V59" i="1"/>
  <c r="U59" i="1"/>
  <c r="X59" i="1"/>
  <c r="W59" i="1"/>
  <c r="BH10" i="1"/>
  <c r="BH8" i="1"/>
  <c r="BH38" i="1"/>
  <c r="BH37" i="1"/>
  <c r="BH40" i="1"/>
  <c r="BH42" i="1"/>
  <c r="BH36" i="1"/>
  <c r="BH46" i="1"/>
  <c r="BH39" i="1"/>
  <c r="BH28" i="1"/>
  <c r="BH21" i="1"/>
  <c r="BH11" i="1"/>
  <c r="BH27" i="1"/>
  <c r="BH14" i="1"/>
  <c r="BI7" i="1"/>
  <c r="BI8" i="1" s="1"/>
  <c r="BH31" i="1"/>
  <c r="BH49" i="1"/>
  <c r="BH34" i="1"/>
  <c r="BH163" i="1"/>
  <c r="BH15" i="1"/>
  <c r="BH47" i="1"/>
  <c r="M60" i="1" l="1"/>
  <c r="N60" i="1"/>
  <c r="O60" i="1"/>
  <c r="P60" i="1"/>
  <c r="Q60" i="1"/>
  <c r="I60" i="1" a="1"/>
  <c r="I60" i="1" s="1"/>
  <c r="H61" i="1" s="1"/>
  <c r="BI61" i="1" s="1"/>
  <c r="BE60" i="1"/>
  <c r="BG60" i="1"/>
  <c r="BF60" i="1"/>
  <c r="BC60" i="1"/>
  <c r="BD60" i="1"/>
  <c r="AV60" i="1"/>
  <c r="AW60" i="1"/>
  <c r="AX60" i="1"/>
  <c r="AP60" i="1"/>
  <c r="AQ60" i="1"/>
  <c r="AR60" i="1"/>
  <c r="AS60" i="1"/>
  <c r="AY60" i="1"/>
  <c r="AL60" i="1"/>
  <c r="AZ60" i="1"/>
  <c r="AO60" i="1"/>
  <c r="AA60" i="1"/>
  <c r="AH60" i="1"/>
  <c r="AD60" i="1"/>
  <c r="T60" i="1"/>
  <c r="AI60" i="1"/>
  <c r="AE60" i="1"/>
  <c r="U60" i="1"/>
  <c r="AJ60" i="1"/>
  <c r="V60" i="1"/>
  <c r="AK60" i="1"/>
  <c r="W60" i="1"/>
  <c r="X60" i="1"/>
  <c r="AB60" i="1"/>
  <c r="AC60" i="1"/>
  <c r="BI46" i="1"/>
  <c r="BI49" i="1"/>
  <c r="BI29" i="1"/>
  <c r="BI47" i="1"/>
  <c r="BI40" i="1"/>
  <c r="BI27" i="1"/>
  <c r="BI28" i="1"/>
  <c r="BI21" i="1"/>
  <c r="BI38" i="1"/>
  <c r="BI37" i="1"/>
  <c r="BI14" i="1"/>
  <c r="BI163" i="1"/>
  <c r="BI39" i="1"/>
  <c r="BI34" i="1"/>
  <c r="BI11" i="1"/>
  <c r="BI15" i="1"/>
  <c r="BJ7" i="1"/>
  <c r="BJ15" i="1" s="1"/>
  <c r="BI36" i="1"/>
  <c r="BI10" i="1"/>
  <c r="BI42" i="1"/>
  <c r="BI31" i="1"/>
  <c r="H62" i="1" l="1"/>
  <c r="M61" i="1"/>
  <c r="N61" i="1"/>
  <c r="O61" i="1"/>
  <c r="P61" i="1"/>
  <c r="Q61" i="1"/>
  <c r="BC61" i="1"/>
  <c r="BD61" i="1"/>
  <c r="BE61" i="1"/>
  <c r="BF61" i="1"/>
  <c r="BG61" i="1"/>
  <c r="AX61" i="1"/>
  <c r="AY61" i="1"/>
  <c r="AZ61" i="1"/>
  <c r="AS61" i="1"/>
  <c r="AH61" i="1"/>
  <c r="AV61" i="1"/>
  <c r="AI61" i="1"/>
  <c r="AW61" i="1"/>
  <c r="AJ61" i="1"/>
  <c r="AO61" i="1"/>
  <c r="AK61" i="1"/>
  <c r="AD61" i="1"/>
  <c r="AP61" i="1"/>
  <c r="AL61" i="1"/>
  <c r="AQ61" i="1"/>
  <c r="AR61" i="1"/>
  <c r="W61" i="1"/>
  <c r="X61" i="1"/>
  <c r="AA61" i="1"/>
  <c r="AB61" i="1"/>
  <c r="AC61" i="1"/>
  <c r="T61" i="1"/>
  <c r="U61" i="1"/>
  <c r="AE61" i="1"/>
  <c r="V61" i="1"/>
  <c r="S61" i="1"/>
  <c r="AU61" i="1"/>
  <c r="Z61" i="1"/>
  <c r="BA61" i="1"/>
  <c r="Y61" i="1"/>
  <c r="BB61" i="1"/>
  <c r="AF61" i="1"/>
  <c r="AM61" i="1"/>
  <c r="AG61" i="1"/>
  <c r="I61" i="1" a="1"/>
  <c r="I61" i="1" s="1"/>
  <c r="BJ62" i="1" s="1"/>
  <c r="AT61" i="1"/>
  <c r="AN61" i="1"/>
  <c r="R61" i="1"/>
  <c r="BH61" i="1"/>
  <c r="BJ46" i="1"/>
  <c r="BJ8" i="1"/>
  <c r="BJ40" i="1"/>
  <c r="BJ42" i="1"/>
  <c r="BJ31" i="1"/>
  <c r="BJ163" i="1"/>
  <c r="BJ36" i="1"/>
  <c r="BJ10" i="1"/>
  <c r="BJ39" i="1"/>
  <c r="BJ14" i="1"/>
  <c r="BJ34" i="1"/>
  <c r="BJ29" i="1"/>
  <c r="BJ11" i="1"/>
  <c r="BJ61" i="1"/>
  <c r="BJ27" i="1"/>
  <c r="BJ38" i="1"/>
  <c r="BJ21" i="1"/>
  <c r="BJ28" i="1"/>
  <c r="BJ49" i="1"/>
  <c r="BK7" i="1"/>
  <c r="BJ6" i="1"/>
  <c r="BJ47" i="1"/>
  <c r="BJ37" i="1"/>
  <c r="P62" i="1" l="1"/>
  <c r="Q62" i="1"/>
  <c r="M62" i="1"/>
  <c r="N62" i="1"/>
  <c r="O62" i="1"/>
  <c r="BC62" i="1"/>
  <c r="BE62" i="1"/>
  <c r="BF62" i="1"/>
  <c r="BD62" i="1"/>
  <c r="BG62" i="1"/>
  <c r="AV62" i="1"/>
  <c r="AW62" i="1"/>
  <c r="AX62" i="1"/>
  <c r="AO62" i="1"/>
  <c r="AY62" i="1"/>
  <c r="AP62" i="1"/>
  <c r="AZ62" i="1"/>
  <c r="AQ62" i="1"/>
  <c r="AR62" i="1"/>
  <c r="AJ62" i="1"/>
  <c r="AS62" i="1"/>
  <c r="AK62" i="1"/>
  <c r="AL62" i="1"/>
  <c r="AH62" i="1"/>
  <c r="AI62" i="1"/>
  <c r="AC62" i="1"/>
  <c r="AD62" i="1"/>
  <c r="AE62" i="1"/>
  <c r="T62" i="1"/>
  <c r="U62" i="1"/>
  <c r="V62" i="1"/>
  <c r="W62" i="1"/>
  <c r="AA62" i="1"/>
  <c r="X62" i="1"/>
  <c r="AB62" i="1"/>
  <c r="Z62" i="1"/>
  <c r="AN62" i="1"/>
  <c r="AM62" i="1"/>
  <c r="BA62" i="1"/>
  <c r="BB62" i="1"/>
  <c r="R62" i="1"/>
  <c r="AT62" i="1"/>
  <c r="AU62" i="1"/>
  <c r="AF62" i="1"/>
  <c r="AG62" i="1"/>
  <c r="I62" i="1" a="1"/>
  <c r="I62" i="1" s="1"/>
  <c r="H63" i="1" s="1"/>
  <c r="Y62" i="1"/>
  <c r="S62" i="1"/>
  <c r="BH62" i="1"/>
  <c r="BI62" i="1"/>
  <c r="BK21" i="1"/>
  <c r="BK29" i="1"/>
  <c r="BK10" i="1"/>
  <c r="BK34" i="1"/>
  <c r="BK163" i="1"/>
  <c r="BK14" i="1"/>
  <c r="BK40" i="1"/>
  <c r="BK42" i="1"/>
  <c r="BK36" i="1"/>
  <c r="BK27" i="1"/>
  <c r="BK8" i="1"/>
  <c r="BK39" i="1"/>
  <c r="BL7" i="1"/>
  <c r="BL29" i="1" s="1"/>
  <c r="BK15" i="1"/>
  <c r="BK61" i="1"/>
  <c r="BK62" i="1"/>
  <c r="BK38" i="1"/>
  <c r="BK31" i="1"/>
  <c r="BK28" i="1"/>
  <c r="BK46" i="1"/>
  <c r="BK49" i="1"/>
  <c r="BK11" i="1"/>
  <c r="BK47" i="1"/>
  <c r="BK37" i="1"/>
  <c r="M63" i="1" l="1"/>
  <c r="N63" i="1"/>
  <c r="Q63" i="1"/>
  <c r="P63" i="1"/>
  <c r="O63" i="1"/>
  <c r="I63" i="1" a="1"/>
  <c r="I63" i="1" s="1"/>
  <c r="H64" i="1" s="1"/>
  <c r="BF63" i="1"/>
  <c r="BD63" i="1"/>
  <c r="BE63" i="1"/>
  <c r="BG63" i="1"/>
  <c r="BC63" i="1"/>
  <c r="AV63" i="1"/>
  <c r="AW63" i="1"/>
  <c r="AX63" i="1"/>
  <c r="AY63" i="1"/>
  <c r="AQ63" i="1"/>
  <c r="AR63" i="1"/>
  <c r="AS63" i="1"/>
  <c r="AO63" i="1"/>
  <c r="AP63" i="1"/>
  <c r="AH63" i="1"/>
  <c r="AB63" i="1"/>
  <c r="U63" i="1"/>
  <c r="V63" i="1"/>
  <c r="W63" i="1"/>
  <c r="AA63" i="1"/>
  <c r="X63" i="1"/>
  <c r="AZ63" i="1"/>
  <c r="AC63" i="1"/>
  <c r="AI63" i="1"/>
  <c r="AD63" i="1"/>
  <c r="AJ63" i="1"/>
  <c r="AE63" i="1"/>
  <c r="AK63" i="1"/>
  <c r="AL63" i="1"/>
  <c r="T63" i="1"/>
  <c r="BL163" i="1"/>
  <c r="BL49" i="1"/>
  <c r="BL15" i="1"/>
  <c r="BL14" i="1"/>
  <c r="BL61" i="1"/>
  <c r="BL42" i="1"/>
  <c r="BL37" i="1"/>
  <c r="BL21" i="1"/>
  <c r="BL38" i="1"/>
  <c r="BL47" i="1"/>
  <c r="BL11" i="1"/>
  <c r="BL39" i="1"/>
  <c r="BL8" i="1"/>
  <c r="BL36" i="1"/>
  <c r="BL34" i="1"/>
  <c r="BL40" i="1"/>
  <c r="BL27" i="1"/>
  <c r="BL46" i="1"/>
  <c r="BL62" i="1"/>
  <c r="BM7" i="1"/>
  <c r="BM11" i="1" s="1"/>
  <c r="BL28" i="1"/>
  <c r="BL10" i="1"/>
  <c r="BL31" i="1"/>
  <c r="N64" i="1" l="1"/>
  <c r="O64" i="1"/>
  <c r="P64" i="1"/>
  <c r="Q64" i="1"/>
  <c r="M64" i="1"/>
  <c r="I64" i="1" a="1"/>
  <c r="I64" i="1" s="1"/>
  <c r="H65" i="1" s="1"/>
  <c r="BM65" i="1" s="1"/>
  <c r="BC64" i="1"/>
  <c r="BD64" i="1"/>
  <c r="BE64" i="1"/>
  <c r="BF64" i="1"/>
  <c r="AY64" i="1"/>
  <c r="BG64" i="1"/>
  <c r="AZ64" i="1"/>
  <c r="AO64" i="1"/>
  <c r="AH64" i="1"/>
  <c r="AI64" i="1"/>
  <c r="AJ64" i="1"/>
  <c r="AK64" i="1"/>
  <c r="AL64" i="1"/>
  <c r="AE64" i="1"/>
  <c r="AP64" i="1"/>
  <c r="AB64" i="1"/>
  <c r="X64" i="1"/>
  <c r="AQ64" i="1"/>
  <c r="AC64" i="1"/>
  <c r="AR64" i="1"/>
  <c r="AD64" i="1"/>
  <c r="AS64" i="1"/>
  <c r="T64" i="1"/>
  <c r="AV64" i="1"/>
  <c r="U64" i="1"/>
  <c r="AW64" i="1"/>
  <c r="V64" i="1"/>
  <c r="AX64" i="1"/>
  <c r="AA64" i="1"/>
  <c r="W64" i="1"/>
  <c r="BM37" i="1"/>
  <c r="BM36" i="1"/>
  <c r="BM42" i="1"/>
  <c r="BM39" i="1"/>
  <c r="BM31" i="1"/>
  <c r="BM40" i="1"/>
  <c r="BM10" i="1"/>
  <c r="BM163" i="1"/>
  <c r="BM15" i="1"/>
  <c r="BM46" i="1"/>
  <c r="BM8" i="1"/>
  <c r="BM49" i="1"/>
  <c r="BM34" i="1"/>
  <c r="BM61" i="1"/>
  <c r="BM38" i="1"/>
  <c r="BM62" i="1"/>
  <c r="BM21" i="1"/>
  <c r="BM28" i="1"/>
  <c r="BM27" i="1"/>
  <c r="BM29" i="1"/>
  <c r="BN7" i="1"/>
  <c r="BN8" i="1" s="1"/>
  <c r="BM14" i="1"/>
  <c r="BM47" i="1"/>
  <c r="Q65" i="1" l="1"/>
  <c r="M65" i="1"/>
  <c r="N65" i="1"/>
  <c r="O65" i="1"/>
  <c r="P65" i="1"/>
  <c r="BD65" i="1"/>
  <c r="BF65" i="1"/>
  <c r="BG65" i="1"/>
  <c r="BC65" i="1"/>
  <c r="AV65" i="1"/>
  <c r="BE65" i="1"/>
  <c r="AW65" i="1"/>
  <c r="AX65" i="1"/>
  <c r="AO65" i="1"/>
  <c r="AY65" i="1"/>
  <c r="AP65" i="1"/>
  <c r="AZ65" i="1"/>
  <c r="AQ65" i="1"/>
  <c r="AR65" i="1"/>
  <c r="AS65" i="1"/>
  <c r="AK65" i="1"/>
  <c r="AL65" i="1"/>
  <c r="AH65" i="1"/>
  <c r="AI65" i="1"/>
  <c r="AJ65" i="1"/>
  <c r="T65" i="1"/>
  <c r="U65" i="1"/>
  <c r="AA65" i="1"/>
  <c r="V65" i="1"/>
  <c r="W65" i="1"/>
  <c r="AC65" i="1"/>
  <c r="X65" i="1"/>
  <c r="AB65" i="1"/>
  <c r="AD65" i="1"/>
  <c r="AE65" i="1"/>
  <c r="BI65" i="1"/>
  <c r="BA65" i="1"/>
  <c r="S65" i="1"/>
  <c r="BB65" i="1"/>
  <c r="AM65" i="1"/>
  <c r="AN65" i="1"/>
  <c r="Z65" i="1"/>
  <c r="Y65" i="1"/>
  <c r="R65" i="1"/>
  <c r="BH65" i="1"/>
  <c r="BJ65" i="1"/>
  <c r="AF65" i="1"/>
  <c r="AG65" i="1"/>
  <c r="I65" i="1" a="1"/>
  <c r="I65" i="1" s="1"/>
  <c r="H66" i="1" s="1"/>
  <c r="AU65" i="1"/>
  <c r="AT65" i="1"/>
  <c r="BK65" i="1"/>
  <c r="BL65" i="1"/>
  <c r="BN46" i="1"/>
  <c r="BN40" i="1"/>
  <c r="BN36" i="1"/>
  <c r="BO7" i="1"/>
  <c r="BO8" i="1" s="1"/>
  <c r="BN163" i="1"/>
  <c r="BN34" i="1"/>
  <c r="BN10" i="1"/>
  <c r="BN27" i="1"/>
  <c r="BN14" i="1"/>
  <c r="BN38" i="1"/>
  <c r="BN62" i="1"/>
  <c r="BN66" i="1"/>
  <c r="BN61" i="1"/>
  <c r="BN37" i="1"/>
  <c r="BN42" i="1"/>
  <c r="BN29" i="1"/>
  <c r="BN15" i="1"/>
  <c r="BN11" i="1"/>
  <c r="BN65" i="1"/>
  <c r="BN28" i="1"/>
  <c r="BN39" i="1"/>
  <c r="BN31" i="1"/>
  <c r="BN21" i="1"/>
  <c r="BN49" i="1"/>
  <c r="BN47" i="1"/>
  <c r="M66" i="1" l="1"/>
  <c r="N66" i="1"/>
  <c r="O66" i="1"/>
  <c r="P66" i="1"/>
  <c r="Q66" i="1"/>
  <c r="BG66" i="1"/>
  <c r="BC66" i="1"/>
  <c r="BD66" i="1"/>
  <c r="BE66" i="1"/>
  <c r="BF66" i="1"/>
  <c r="AW66" i="1"/>
  <c r="AX66" i="1"/>
  <c r="AY66" i="1"/>
  <c r="AZ66" i="1"/>
  <c r="AR66" i="1"/>
  <c r="AS66" i="1"/>
  <c r="AV66" i="1"/>
  <c r="AO66" i="1"/>
  <c r="AP66" i="1"/>
  <c r="AH66" i="1"/>
  <c r="AQ66" i="1"/>
  <c r="AI66" i="1"/>
  <c r="AC66" i="1"/>
  <c r="AJ66" i="1"/>
  <c r="AA66" i="1"/>
  <c r="V66" i="1"/>
  <c r="AK66" i="1"/>
  <c r="AB66" i="1"/>
  <c r="W66" i="1"/>
  <c r="AL66" i="1"/>
  <c r="AD66" i="1"/>
  <c r="X66" i="1"/>
  <c r="AE66" i="1"/>
  <c r="T66" i="1"/>
  <c r="U66" i="1"/>
  <c r="BK66" i="1"/>
  <c r="AM66" i="1"/>
  <c r="BB66" i="1"/>
  <c r="R66" i="1"/>
  <c r="BH66" i="1"/>
  <c r="BL66" i="1"/>
  <c r="S66" i="1"/>
  <c r="AF66" i="1"/>
  <c r="AT66" i="1"/>
  <c r="I66" i="1" a="1"/>
  <c r="I66" i="1" s="1"/>
  <c r="H67" i="1" s="1"/>
  <c r="Y66" i="1"/>
  <c r="BI66" i="1"/>
  <c r="BJ66" i="1"/>
  <c r="AN66" i="1"/>
  <c r="AU66" i="1"/>
  <c r="BA66" i="1"/>
  <c r="AG66" i="1"/>
  <c r="Z66" i="1"/>
  <c r="BM66" i="1"/>
  <c r="BO46" i="1"/>
  <c r="BO40" i="1"/>
  <c r="BO65" i="1"/>
  <c r="BO21" i="1"/>
  <c r="BO66" i="1"/>
  <c r="BO15" i="1"/>
  <c r="BO36" i="1"/>
  <c r="BO61" i="1"/>
  <c r="BO163" i="1"/>
  <c r="BO49" i="1"/>
  <c r="BO10" i="1"/>
  <c r="BO47" i="1"/>
  <c r="BO29" i="1"/>
  <c r="BO37" i="1"/>
  <c r="BO28" i="1"/>
  <c r="BO27" i="1"/>
  <c r="BO34" i="1"/>
  <c r="BO39" i="1"/>
  <c r="BO14" i="1"/>
  <c r="BO38" i="1"/>
  <c r="BO42" i="1"/>
  <c r="BO11" i="1"/>
  <c r="BP7" i="1"/>
  <c r="BP39" i="1" s="1"/>
  <c r="BO62" i="1"/>
  <c r="BO31" i="1"/>
  <c r="BO67" i="1" l="1"/>
  <c r="O67" i="1"/>
  <c r="P67" i="1"/>
  <c r="Q67" i="1"/>
  <c r="M67" i="1"/>
  <c r="N67" i="1"/>
  <c r="BD67" i="1"/>
  <c r="BE67" i="1"/>
  <c r="BC67" i="1"/>
  <c r="BF67" i="1"/>
  <c r="BG67" i="1"/>
  <c r="AZ67" i="1"/>
  <c r="AO67" i="1"/>
  <c r="AP67" i="1"/>
  <c r="AV67" i="1"/>
  <c r="AI67" i="1"/>
  <c r="AW67" i="1"/>
  <c r="AJ67" i="1"/>
  <c r="AX67" i="1"/>
  <c r="AK67" i="1"/>
  <c r="AY67" i="1"/>
  <c r="AL67" i="1"/>
  <c r="AQ67" i="1"/>
  <c r="AR67" i="1"/>
  <c r="AS67" i="1"/>
  <c r="AE67" i="1"/>
  <c r="AH67" i="1"/>
  <c r="T67" i="1"/>
  <c r="AA67" i="1"/>
  <c r="U67" i="1"/>
  <c r="AB67" i="1"/>
  <c r="V67" i="1"/>
  <c r="AC67" i="1"/>
  <c r="W67" i="1"/>
  <c r="AD67" i="1"/>
  <c r="X67" i="1"/>
  <c r="BL67" i="1"/>
  <c r="AN67" i="1"/>
  <c r="Y67" i="1"/>
  <c r="BB67" i="1"/>
  <c r="AF67" i="1"/>
  <c r="R67" i="1"/>
  <c r="S67" i="1"/>
  <c r="AT67" i="1"/>
  <c r="BH67" i="1"/>
  <c r="BK67" i="1"/>
  <c r="AU67" i="1"/>
  <c r="BI67" i="1"/>
  <c r="BM67" i="1"/>
  <c r="AG67" i="1"/>
  <c r="BJ67" i="1"/>
  <c r="AM67" i="1"/>
  <c r="I67" i="1" a="1"/>
  <c r="I67" i="1" s="1"/>
  <c r="H68" i="1" s="1"/>
  <c r="BA67" i="1"/>
  <c r="Z67" i="1"/>
  <c r="BN67" i="1"/>
  <c r="BP61" i="1"/>
  <c r="BP21" i="1"/>
  <c r="BP29" i="1"/>
  <c r="BP49" i="1"/>
  <c r="BP38" i="1"/>
  <c r="BP14" i="1"/>
  <c r="BP28" i="1"/>
  <c r="BP42" i="1"/>
  <c r="BP66" i="1"/>
  <c r="BP15" i="1"/>
  <c r="BP62" i="1"/>
  <c r="BP47" i="1"/>
  <c r="BP46" i="1"/>
  <c r="BP40" i="1"/>
  <c r="BP163" i="1"/>
  <c r="BP34" i="1"/>
  <c r="BP11" i="1"/>
  <c r="BP8" i="1"/>
  <c r="BP36" i="1"/>
  <c r="BP37" i="1"/>
  <c r="BP31" i="1"/>
  <c r="BP67" i="1"/>
  <c r="BP10" i="1"/>
  <c r="BP65" i="1"/>
  <c r="BP27" i="1"/>
  <c r="M68" i="1" l="1"/>
  <c r="N68" i="1"/>
  <c r="O68" i="1"/>
  <c r="P68" i="1"/>
  <c r="Q68" i="1"/>
  <c r="I68" i="1" a="1"/>
  <c r="I68" i="1" s="1"/>
  <c r="H69" i="1" s="1"/>
  <c r="BE68" i="1"/>
  <c r="BG68" i="1"/>
  <c r="BD68" i="1"/>
  <c r="BF68" i="1"/>
  <c r="BC68" i="1"/>
  <c r="AV68" i="1"/>
  <c r="AW68" i="1"/>
  <c r="AX68" i="1"/>
  <c r="AY68" i="1"/>
  <c r="AP68" i="1"/>
  <c r="AZ68" i="1"/>
  <c r="AQ68" i="1"/>
  <c r="AR68" i="1"/>
  <c r="AS68" i="1"/>
  <c r="AL68" i="1"/>
  <c r="AH68" i="1"/>
  <c r="AA68" i="1"/>
  <c r="AI68" i="1"/>
  <c r="AJ68" i="1"/>
  <c r="AO68" i="1"/>
  <c r="AK68" i="1"/>
  <c r="T68" i="1"/>
  <c r="AB68" i="1"/>
  <c r="U68" i="1"/>
  <c r="AC68" i="1"/>
  <c r="V68" i="1"/>
  <c r="AD68" i="1"/>
  <c r="W68" i="1"/>
  <c r="X68" i="1"/>
  <c r="AE68" i="1"/>
  <c r="M69" i="1" l="1"/>
  <c r="N69" i="1"/>
  <c r="O69" i="1"/>
  <c r="P69" i="1"/>
  <c r="Q69" i="1"/>
  <c r="I69" i="1" a="1"/>
  <c r="I69" i="1" s="1"/>
  <c r="H70" i="1" s="1"/>
  <c r="BC69" i="1"/>
  <c r="BD69" i="1"/>
  <c r="BE69" i="1"/>
  <c r="BF69" i="1"/>
  <c r="BG69" i="1"/>
  <c r="AX69" i="1"/>
  <c r="AY69" i="1"/>
  <c r="AZ69" i="1"/>
  <c r="AS69" i="1"/>
  <c r="AV69" i="1"/>
  <c r="AW69" i="1"/>
  <c r="AO69" i="1"/>
  <c r="AP69" i="1"/>
  <c r="AH69" i="1"/>
  <c r="AQ69" i="1"/>
  <c r="AI69" i="1"/>
  <c r="AR69" i="1"/>
  <c r="AJ69" i="1"/>
  <c r="AD69" i="1"/>
  <c r="AE69" i="1"/>
  <c r="W69" i="1"/>
  <c r="X69" i="1"/>
  <c r="AK69" i="1"/>
  <c r="AL69" i="1"/>
  <c r="AA69" i="1"/>
  <c r="AB69" i="1"/>
  <c r="T69" i="1"/>
  <c r="U69" i="1"/>
  <c r="V69" i="1"/>
  <c r="AC69" i="1"/>
  <c r="P70" i="1" l="1"/>
  <c r="Q70" i="1"/>
  <c r="M70" i="1"/>
  <c r="N70" i="1"/>
  <c r="O70" i="1"/>
  <c r="I70" i="1" a="1"/>
  <c r="I70" i="1" s="1"/>
  <c r="H71" i="1" s="1"/>
  <c r="BC70" i="1"/>
  <c r="BE70" i="1"/>
  <c r="BF70" i="1"/>
  <c r="BD70" i="1"/>
  <c r="BG70" i="1"/>
  <c r="AV70" i="1"/>
  <c r="AO70" i="1"/>
  <c r="AP70" i="1"/>
  <c r="AQ70" i="1"/>
  <c r="AJ70" i="1"/>
  <c r="AK70" i="1"/>
  <c r="AL70" i="1"/>
  <c r="AW70" i="1"/>
  <c r="AX70" i="1"/>
  <c r="AY70" i="1"/>
  <c r="AZ70" i="1"/>
  <c r="AA70" i="1"/>
  <c r="AB70" i="1"/>
  <c r="T70" i="1"/>
  <c r="AC70" i="1"/>
  <c r="U70" i="1"/>
  <c r="AD70" i="1"/>
  <c r="V70" i="1"/>
  <c r="AR70" i="1"/>
  <c r="AE70" i="1"/>
  <c r="W70" i="1"/>
  <c r="AS70" i="1"/>
  <c r="AH70" i="1"/>
  <c r="X70" i="1"/>
  <c r="AI70" i="1"/>
  <c r="M71" i="1" l="1"/>
  <c r="N71" i="1"/>
  <c r="O71" i="1"/>
  <c r="P71" i="1"/>
  <c r="Q71" i="1"/>
  <c r="I71" i="1" a="1"/>
  <c r="I71" i="1" s="1"/>
  <c r="H72" i="1" s="1"/>
  <c r="BF71" i="1"/>
  <c r="BC71" i="1"/>
  <c r="BD71" i="1"/>
  <c r="BE71" i="1"/>
  <c r="BG71" i="1"/>
  <c r="AV71" i="1"/>
  <c r="AW71" i="1"/>
  <c r="AX71" i="1"/>
  <c r="AY71" i="1"/>
  <c r="AZ71" i="1"/>
  <c r="AQ71" i="1"/>
  <c r="AR71" i="1"/>
  <c r="AS71" i="1"/>
  <c r="AH71" i="1"/>
  <c r="AI71" i="1"/>
  <c r="AB71" i="1"/>
  <c r="AJ71" i="1"/>
  <c r="AK71" i="1"/>
  <c r="AL71" i="1"/>
  <c r="AD71" i="1"/>
  <c r="U71" i="1"/>
  <c r="AE71" i="1"/>
  <c r="V71" i="1"/>
  <c r="W71" i="1"/>
  <c r="X71" i="1"/>
  <c r="AA71" i="1"/>
  <c r="AC71" i="1"/>
  <c r="T71" i="1"/>
  <c r="AP71" i="1"/>
  <c r="AO71" i="1"/>
  <c r="H73" i="1" l="1"/>
  <c r="Q72" i="1"/>
  <c r="M72" i="1"/>
  <c r="N72" i="1"/>
  <c r="O72" i="1"/>
  <c r="P72" i="1"/>
  <c r="BD72" i="1"/>
  <c r="BF72" i="1"/>
  <c r="BG72" i="1"/>
  <c r="BE72" i="1"/>
  <c r="BC72" i="1"/>
  <c r="AV72" i="1"/>
  <c r="AW72" i="1"/>
  <c r="AO72" i="1"/>
  <c r="AP72" i="1"/>
  <c r="AQ72" i="1"/>
  <c r="AR72" i="1"/>
  <c r="AX72" i="1"/>
  <c r="AK72" i="1"/>
  <c r="AY72" i="1"/>
  <c r="AL72" i="1"/>
  <c r="AZ72" i="1"/>
  <c r="AS72" i="1"/>
  <c r="AC72" i="1"/>
  <c r="AH72" i="1"/>
  <c r="AD72" i="1"/>
  <c r="T72" i="1"/>
  <c r="AI72" i="1"/>
  <c r="AE72" i="1"/>
  <c r="U72" i="1"/>
  <c r="AJ72" i="1"/>
  <c r="V72" i="1"/>
  <c r="W72" i="1"/>
  <c r="X72" i="1"/>
  <c r="AB72" i="1"/>
  <c r="AA72" i="1"/>
  <c r="I72" i="1" a="1"/>
  <c r="I72" i="1" s="1"/>
  <c r="BB72" i="1"/>
  <c r="BO72" i="1"/>
  <c r="AN72" i="1"/>
  <c r="BM72" i="1"/>
  <c r="BA72" i="1"/>
  <c r="AT72" i="1"/>
  <c r="R72" i="1"/>
  <c r="BH72" i="1"/>
  <c r="BP72" i="1"/>
  <c r="BI72" i="1"/>
  <c r="AU72" i="1"/>
  <c r="S72" i="1"/>
  <c r="BK72" i="1"/>
  <c r="Z72" i="1"/>
  <c r="BN72" i="1"/>
  <c r="AF72" i="1"/>
  <c r="BJ72" i="1"/>
  <c r="Y72" i="1"/>
  <c r="AG72" i="1"/>
  <c r="AM72" i="1"/>
  <c r="BL72" i="1"/>
  <c r="M73" i="1" l="1"/>
  <c r="N73" i="1"/>
  <c r="O73" i="1"/>
  <c r="P73" i="1"/>
  <c r="Q73" i="1"/>
  <c r="BG73" i="1"/>
  <c r="BC73" i="1"/>
  <c r="BD73" i="1"/>
  <c r="BE73" i="1"/>
  <c r="AW73" i="1"/>
  <c r="AX73" i="1"/>
  <c r="AY73" i="1"/>
  <c r="AZ73" i="1"/>
  <c r="BF73" i="1"/>
  <c r="AR73" i="1"/>
  <c r="AS73" i="1"/>
  <c r="AH73" i="1"/>
  <c r="AV73" i="1"/>
  <c r="AI73" i="1"/>
  <c r="AJ73" i="1"/>
  <c r="AC73" i="1"/>
  <c r="AO73" i="1"/>
  <c r="AK73" i="1"/>
  <c r="AP73" i="1"/>
  <c r="AL73" i="1"/>
  <c r="AQ73" i="1"/>
  <c r="V73" i="1"/>
  <c r="W73" i="1"/>
  <c r="X73" i="1"/>
  <c r="AA73" i="1"/>
  <c r="AB73" i="1"/>
  <c r="AD73" i="1"/>
  <c r="AE73" i="1"/>
  <c r="T73" i="1"/>
  <c r="U73" i="1"/>
  <c r="BA73" i="1"/>
  <c r="BN73" i="1"/>
  <c r="AG73" i="1"/>
  <c r="BJ73" i="1"/>
  <c r="AF73" i="1"/>
  <c r="BB73" i="1"/>
  <c r="BO73" i="1"/>
  <c r="BP73" i="1"/>
  <c r="BI73" i="1"/>
  <c r="AM73" i="1"/>
  <c r="R73" i="1"/>
  <c r="S73" i="1"/>
  <c r="AU73" i="1"/>
  <c r="BH73" i="1"/>
  <c r="Z73" i="1"/>
  <c r="AN73" i="1"/>
  <c r="Y73" i="1"/>
  <c r="AT73" i="1"/>
  <c r="BL73" i="1"/>
  <c r="I73" i="1" a="1"/>
  <c r="I73" i="1" s="1"/>
  <c r="H74" i="1" s="1"/>
  <c r="BM73" i="1"/>
  <c r="BK73" i="1"/>
  <c r="O74" i="1" l="1"/>
  <c r="P74" i="1"/>
  <c r="Q74" i="1"/>
  <c r="M74" i="1"/>
  <c r="N74" i="1"/>
  <c r="BD74" i="1"/>
  <c r="BE74" i="1"/>
  <c r="AZ74" i="1"/>
  <c r="AV74" i="1"/>
  <c r="BC74" i="1"/>
  <c r="AW74" i="1"/>
  <c r="BF74" i="1"/>
  <c r="AX74" i="1"/>
  <c r="AO74" i="1"/>
  <c r="BG74" i="1"/>
  <c r="AY74" i="1"/>
  <c r="AP74" i="1"/>
  <c r="AQ74" i="1"/>
  <c r="AI74" i="1"/>
  <c r="AR74" i="1"/>
  <c r="AJ74" i="1"/>
  <c r="AS74" i="1"/>
  <c r="AK74" i="1"/>
  <c r="AL74" i="1"/>
  <c r="AH74" i="1"/>
  <c r="AB74" i="1"/>
  <c r="AC74" i="1"/>
  <c r="AD74" i="1"/>
  <c r="AE74" i="1"/>
  <c r="T74" i="1"/>
  <c r="V74" i="1"/>
  <c r="U74" i="1"/>
  <c r="AA74" i="1"/>
  <c r="W74" i="1"/>
  <c r="X74" i="1"/>
  <c r="R74" i="1"/>
  <c r="BA74" i="1"/>
  <c r="BN74" i="1"/>
  <c r="BO74" i="1"/>
  <c r="AF74" i="1"/>
  <c r="AN74" i="1"/>
  <c r="Z74" i="1"/>
  <c r="BB74" i="1"/>
  <c r="BH74" i="1"/>
  <c r="BI74" i="1"/>
  <c r="AT74" i="1"/>
  <c r="BJ74" i="1"/>
  <c r="AM74" i="1"/>
  <c r="BK74" i="1"/>
  <c r="Y74" i="1"/>
  <c r="BP74" i="1"/>
  <c r="AU74" i="1"/>
  <c r="S74" i="1"/>
  <c r="AG74" i="1"/>
  <c r="BM74" i="1"/>
  <c r="I74" i="1" a="1"/>
  <c r="I74" i="1" s="1"/>
  <c r="H75" i="1" s="1"/>
  <c r="BL74" i="1"/>
  <c r="M75" i="1" l="1"/>
  <c r="N75" i="1"/>
  <c r="Q75" i="1"/>
  <c r="P75" i="1"/>
  <c r="O75" i="1"/>
  <c r="BE75" i="1"/>
  <c r="BG75" i="1"/>
  <c r="BC75" i="1"/>
  <c r="BD75" i="1"/>
  <c r="BF75" i="1"/>
  <c r="AV75" i="1"/>
  <c r="AW75" i="1"/>
  <c r="AX75" i="1"/>
  <c r="AP75" i="1"/>
  <c r="AQ75" i="1"/>
  <c r="AR75" i="1"/>
  <c r="AS75" i="1"/>
  <c r="AL75" i="1"/>
  <c r="AO75" i="1"/>
  <c r="AA75" i="1"/>
  <c r="AY75" i="1"/>
  <c r="T75" i="1"/>
  <c r="AZ75" i="1"/>
  <c r="U75" i="1"/>
  <c r="V75" i="1"/>
  <c r="W75" i="1"/>
  <c r="X75" i="1"/>
  <c r="AH75" i="1"/>
  <c r="AB75" i="1"/>
  <c r="AI75" i="1"/>
  <c r="AC75" i="1"/>
  <c r="AJ75" i="1"/>
  <c r="AK75" i="1"/>
  <c r="AD75" i="1"/>
  <c r="AE75" i="1"/>
  <c r="AG75" i="1"/>
  <c r="BA75" i="1"/>
  <c r="BN75" i="1"/>
  <c r="R75" i="1"/>
  <c r="BB75" i="1"/>
  <c r="BO75" i="1"/>
  <c r="BP75" i="1"/>
  <c r="Z75" i="1"/>
  <c r="AU75" i="1"/>
  <c r="AM75" i="1"/>
  <c r="S75" i="1"/>
  <c r="BH75" i="1"/>
  <c r="AT75" i="1"/>
  <c r="BJ75" i="1"/>
  <c r="BK75" i="1"/>
  <c r="AF75" i="1"/>
  <c r="BI75" i="1"/>
  <c r="I75" i="1" a="1"/>
  <c r="I75" i="1" s="1"/>
  <c r="H76" i="1" s="1"/>
  <c r="Y75" i="1"/>
  <c r="AN75" i="1"/>
  <c r="BL75" i="1"/>
  <c r="BM75" i="1"/>
  <c r="AM76" i="1" l="1"/>
  <c r="M76" i="1"/>
  <c r="N76" i="1"/>
  <c r="O76" i="1"/>
  <c r="P76" i="1"/>
  <c r="Q76" i="1"/>
  <c r="BM76" i="1"/>
  <c r="AN76" i="1"/>
  <c r="BK76" i="1"/>
  <c r="AF76" i="1"/>
  <c r="AU76" i="1"/>
  <c r="BL76" i="1"/>
  <c r="AG76" i="1"/>
  <c r="BC76" i="1"/>
  <c r="BD76" i="1"/>
  <c r="BE76" i="1"/>
  <c r="BF76" i="1"/>
  <c r="BG76" i="1"/>
  <c r="AX76" i="1"/>
  <c r="AY76" i="1"/>
  <c r="AZ76" i="1"/>
  <c r="AS76" i="1"/>
  <c r="AH76" i="1"/>
  <c r="AI76" i="1"/>
  <c r="AJ76" i="1"/>
  <c r="AK76" i="1"/>
  <c r="AD76" i="1"/>
  <c r="AL76" i="1"/>
  <c r="AO76" i="1"/>
  <c r="AA76" i="1"/>
  <c r="W76" i="1"/>
  <c r="AP76" i="1"/>
  <c r="AB76" i="1"/>
  <c r="X76" i="1"/>
  <c r="AV76" i="1"/>
  <c r="AQ76" i="1"/>
  <c r="AC76" i="1"/>
  <c r="AW76" i="1"/>
  <c r="AR76" i="1"/>
  <c r="AE76" i="1"/>
  <c r="T76" i="1"/>
  <c r="U76" i="1"/>
  <c r="V76" i="1"/>
  <c r="AT76" i="1"/>
  <c r="BJ76" i="1"/>
  <c r="S76" i="1"/>
  <c r="BI76" i="1"/>
  <c r="BP76" i="1"/>
  <c r="BH76" i="1"/>
  <c r="Y76" i="1"/>
  <c r="BO76" i="1"/>
  <c r="BB76" i="1"/>
  <c r="Z76" i="1"/>
  <c r="R76" i="1"/>
  <c r="BN76" i="1"/>
  <c r="BA76" i="1"/>
  <c r="I76" i="1" a="1"/>
  <c r="I76" i="1" s="1"/>
  <c r="H77" i="1" s="1"/>
  <c r="I77" i="1" s="1" a="1"/>
  <c r="I77" i="1" s="1"/>
  <c r="H78" i="1" s="1"/>
  <c r="P77" i="1" l="1"/>
  <c r="Q77" i="1"/>
  <c r="M77" i="1"/>
  <c r="N77" i="1"/>
  <c r="O77" i="1"/>
  <c r="Z77" i="1"/>
  <c r="BJ77" i="1"/>
  <c r="AT77" i="1"/>
  <c r="AM77" i="1"/>
  <c r="S77" i="1"/>
  <c r="BK77" i="1"/>
  <c r="BH77" i="1"/>
  <c r="BP77" i="1"/>
  <c r="BL77" i="1"/>
  <c r="AF77" i="1"/>
  <c r="BI77" i="1"/>
  <c r="BB77" i="1"/>
  <c r="AG77" i="1"/>
  <c r="AU77" i="1"/>
  <c r="Y77" i="1"/>
  <c r="BC77" i="1"/>
  <c r="BE77" i="1"/>
  <c r="BF77" i="1"/>
  <c r="BG77" i="1"/>
  <c r="BD77" i="1"/>
  <c r="AV77" i="1"/>
  <c r="AW77" i="1"/>
  <c r="AX77" i="1"/>
  <c r="AO77" i="1"/>
  <c r="AY77" i="1"/>
  <c r="AP77" i="1"/>
  <c r="AZ77" i="1"/>
  <c r="AQ77" i="1"/>
  <c r="AR77" i="1"/>
  <c r="AJ77" i="1"/>
  <c r="AS77" i="1"/>
  <c r="AK77" i="1"/>
  <c r="AL77" i="1"/>
  <c r="AH77" i="1"/>
  <c r="AI77" i="1"/>
  <c r="AE77" i="1"/>
  <c r="T77" i="1"/>
  <c r="U77" i="1"/>
  <c r="AA77" i="1"/>
  <c r="V77" i="1"/>
  <c r="AB77" i="1"/>
  <c r="AC77" i="1"/>
  <c r="AD77" i="1"/>
  <c r="W77" i="1"/>
  <c r="X77" i="1"/>
  <c r="BO77" i="1"/>
  <c r="BN77" i="1"/>
  <c r="R77" i="1"/>
  <c r="AN77" i="1"/>
  <c r="BM77" i="1"/>
  <c r="BA77" i="1"/>
  <c r="N78" i="1" l="1"/>
  <c r="O78" i="1"/>
  <c r="P78" i="1"/>
  <c r="Q78" i="1"/>
  <c r="M78" i="1"/>
  <c r="I78" i="1" a="1"/>
  <c r="I78" i="1" s="1"/>
  <c r="H79" i="1" s="1"/>
  <c r="BC78" i="1"/>
  <c r="BD78" i="1"/>
  <c r="BE78" i="1"/>
  <c r="BF78" i="1"/>
  <c r="BG78" i="1"/>
  <c r="AY78" i="1"/>
  <c r="AZ78" i="1"/>
  <c r="AO78" i="1"/>
  <c r="AH78" i="1"/>
  <c r="AV78" i="1"/>
  <c r="AI78" i="1"/>
  <c r="AW78" i="1"/>
  <c r="AJ78" i="1"/>
  <c r="AX78" i="1"/>
  <c r="AK78" i="1"/>
  <c r="AP78" i="1"/>
  <c r="AL78" i="1"/>
  <c r="AE78" i="1"/>
  <c r="AQ78" i="1"/>
  <c r="AR78" i="1"/>
  <c r="AS78" i="1"/>
  <c r="AD78" i="1"/>
  <c r="X78" i="1"/>
  <c r="T78" i="1"/>
  <c r="AA78" i="1"/>
  <c r="U78" i="1"/>
  <c r="V78" i="1"/>
  <c r="W78" i="1"/>
  <c r="AB78" i="1"/>
  <c r="AC78" i="1"/>
  <c r="Q79" i="1" l="1"/>
  <c r="M79" i="1"/>
  <c r="N79" i="1"/>
  <c r="O79" i="1"/>
  <c r="P79" i="1"/>
  <c r="I79" i="1" a="1"/>
  <c r="I79" i="1" s="1"/>
  <c r="H80" i="1" s="1"/>
  <c r="BD79" i="1"/>
  <c r="BF79" i="1"/>
  <c r="BG79" i="1"/>
  <c r="BC79" i="1"/>
  <c r="BE79" i="1"/>
  <c r="AV79" i="1"/>
  <c r="AW79" i="1"/>
  <c r="AX79" i="1"/>
  <c r="AO79" i="1"/>
  <c r="AY79" i="1"/>
  <c r="AP79" i="1"/>
  <c r="AZ79" i="1"/>
  <c r="AQ79" i="1"/>
  <c r="AR79" i="1"/>
  <c r="AS79" i="1"/>
  <c r="AK79" i="1"/>
  <c r="AL79" i="1"/>
  <c r="AH79" i="1"/>
  <c r="AI79" i="1"/>
  <c r="AJ79" i="1"/>
  <c r="AA79" i="1"/>
  <c r="T79" i="1"/>
  <c r="AB79" i="1"/>
  <c r="U79" i="1"/>
  <c r="AC79" i="1"/>
  <c r="V79" i="1"/>
  <c r="AD79" i="1"/>
  <c r="AE79" i="1"/>
  <c r="W79" i="1"/>
  <c r="X79" i="1"/>
  <c r="H81" i="1" l="1"/>
  <c r="M80" i="1"/>
  <c r="N80" i="1"/>
  <c r="O80" i="1"/>
  <c r="P80" i="1"/>
  <c r="Q80" i="1"/>
  <c r="BG80" i="1"/>
  <c r="BC80" i="1"/>
  <c r="BD80" i="1"/>
  <c r="BE80" i="1"/>
  <c r="BF80" i="1"/>
  <c r="AW80" i="1"/>
  <c r="AX80" i="1"/>
  <c r="AY80" i="1"/>
  <c r="AZ80" i="1"/>
  <c r="AR80" i="1"/>
  <c r="AS80" i="1"/>
  <c r="AV80" i="1"/>
  <c r="AO80" i="1"/>
  <c r="AP80" i="1"/>
  <c r="AQ80" i="1"/>
  <c r="AI80" i="1"/>
  <c r="AC80" i="1"/>
  <c r="AD80" i="1"/>
  <c r="V80" i="1"/>
  <c r="AE80" i="1"/>
  <c r="W80" i="1"/>
  <c r="X80" i="1"/>
  <c r="AH80" i="1"/>
  <c r="AJ80" i="1"/>
  <c r="AK80" i="1"/>
  <c r="AA80" i="1"/>
  <c r="AL80" i="1"/>
  <c r="AB80" i="1"/>
  <c r="T80" i="1"/>
  <c r="U80" i="1"/>
  <c r="AN80" i="1"/>
  <c r="AT80" i="1"/>
  <c r="Y80" i="1"/>
  <c r="BO80" i="1"/>
  <c r="I80" i="1" a="1"/>
  <c r="I80" i="1" s="1"/>
  <c r="S80" i="1"/>
  <c r="AF80" i="1"/>
  <c r="BH80" i="1"/>
  <c r="BP80" i="1"/>
  <c r="Z80" i="1"/>
  <c r="BA80" i="1"/>
  <c r="AM80" i="1"/>
  <c r="BI80" i="1"/>
  <c r="BJ80" i="1"/>
  <c r="R80" i="1"/>
  <c r="BK80" i="1"/>
  <c r="BL80" i="1"/>
  <c r="AU80" i="1"/>
  <c r="BB80" i="1"/>
  <c r="BM80" i="1"/>
  <c r="AG80" i="1"/>
  <c r="BN80" i="1"/>
  <c r="H82" i="1" l="1"/>
  <c r="O81" i="1"/>
  <c r="P81" i="1"/>
  <c r="Q81" i="1"/>
  <c r="M81" i="1"/>
  <c r="N81" i="1"/>
  <c r="BD81" i="1"/>
  <c r="BE81" i="1"/>
  <c r="BG81" i="1"/>
  <c r="BC81" i="1"/>
  <c r="BF81" i="1"/>
  <c r="AZ81" i="1"/>
  <c r="AO81" i="1"/>
  <c r="AP81" i="1"/>
  <c r="AI81" i="1"/>
  <c r="AJ81" i="1"/>
  <c r="AV81" i="1"/>
  <c r="AH81" i="1"/>
  <c r="AW81" i="1"/>
  <c r="AK81" i="1"/>
  <c r="AX81" i="1"/>
  <c r="AL81" i="1"/>
  <c r="AY81" i="1"/>
  <c r="AA81" i="1"/>
  <c r="AB81" i="1"/>
  <c r="T81" i="1"/>
  <c r="AQ81" i="1"/>
  <c r="U81" i="1"/>
  <c r="AC81" i="1"/>
  <c r="AR81" i="1"/>
  <c r="V81" i="1"/>
  <c r="AD81" i="1"/>
  <c r="AS81" i="1"/>
  <c r="W81" i="1"/>
  <c r="X81" i="1"/>
  <c r="AE81" i="1"/>
  <c r="Z81" i="1"/>
  <c r="AG81" i="1"/>
  <c r="AN81" i="1"/>
  <c r="BO81" i="1"/>
  <c r="AU81" i="1"/>
  <c r="AM81" i="1"/>
  <c r="BH81" i="1"/>
  <c r="BP81" i="1"/>
  <c r="BI81" i="1"/>
  <c r="BB81" i="1"/>
  <c r="R81" i="1"/>
  <c r="BK81" i="1"/>
  <c r="BL81" i="1"/>
  <c r="I81" i="1" a="1"/>
  <c r="I81" i="1" s="1"/>
  <c r="S81" i="1"/>
  <c r="BJ81" i="1"/>
  <c r="BA81" i="1"/>
  <c r="BM81" i="1"/>
  <c r="AF81" i="1"/>
  <c r="AT81" i="1"/>
  <c r="BN81" i="1"/>
  <c r="Y81" i="1"/>
  <c r="M82" i="1" l="1"/>
  <c r="N82" i="1"/>
  <c r="O82" i="1"/>
  <c r="P82" i="1"/>
  <c r="Q82" i="1"/>
  <c r="BE82" i="1"/>
  <c r="BG82" i="1"/>
  <c r="BC82" i="1"/>
  <c r="BD82" i="1"/>
  <c r="BF82" i="1"/>
  <c r="AV82" i="1"/>
  <c r="AW82" i="1"/>
  <c r="AX82" i="1"/>
  <c r="AY82" i="1"/>
  <c r="AP82" i="1"/>
  <c r="AZ82" i="1"/>
  <c r="AQ82" i="1"/>
  <c r="AR82" i="1"/>
  <c r="AS82" i="1"/>
  <c r="AL82" i="1"/>
  <c r="AA82" i="1"/>
  <c r="AH82" i="1"/>
  <c r="AI82" i="1"/>
  <c r="AC82" i="1"/>
  <c r="T82" i="1"/>
  <c r="AJ82" i="1"/>
  <c r="AD82" i="1"/>
  <c r="U82" i="1"/>
  <c r="AK82" i="1"/>
  <c r="AE82" i="1"/>
  <c r="V82" i="1"/>
  <c r="W82" i="1"/>
  <c r="AO82" i="1"/>
  <c r="X82" i="1"/>
  <c r="AB82" i="1"/>
  <c r="AF82" i="1"/>
  <c r="AG82" i="1"/>
  <c r="BN82" i="1"/>
  <c r="AU82" i="1"/>
  <c r="BO82" i="1"/>
  <c r="AN82" i="1"/>
  <c r="BP82" i="1"/>
  <c r="S82" i="1"/>
  <c r="BK82" i="1"/>
  <c r="I82" i="1" a="1"/>
  <c r="I82" i="1" s="1"/>
  <c r="H83" i="1" s="1"/>
  <c r="BH82" i="1"/>
  <c r="AM82" i="1"/>
  <c r="BI82" i="1"/>
  <c r="BB82" i="1"/>
  <c r="BJ82" i="1"/>
  <c r="Z82" i="1"/>
  <c r="AT82" i="1"/>
  <c r="BL82" i="1"/>
  <c r="R82" i="1"/>
  <c r="BA82" i="1"/>
  <c r="BM82" i="1"/>
  <c r="Y82" i="1"/>
  <c r="M83" i="1" l="1"/>
  <c r="N83" i="1"/>
  <c r="O83" i="1"/>
  <c r="P83" i="1"/>
  <c r="Q83" i="1"/>
  <c r="BC83" i="1"/>
  <c r="BD83" i="1"/>
  <c r="AX83" i="1"/>
  <c r="BE83" i="1"/>
  <c r="AY83" i="1"/>
  <c r="BF83" i="1"/>
  <c r="AZ83" i="1"/>
  <c r="BG83" i="1"/>
  <c r="AS83" i="1"/>
  <c r="AV83" i="1"/>
  <c r="AW83" i="1"/>
  <c r="AO83" i="1"/>
  <c r="AP83" i="1"/>
  <c r="AH83" i="1"/>
  <c r="AQ83" i="1"/>
  <c r="AR83" i="1"/>
  <c r="AJ83" i="1"/>
  <c r="AD83" i="1"/>
  <c r="AK83" i="1"/>
  <c r="AL83" i="1"/>
  <c r="W83" i="1"/>
  <c r="X83" i="1"/>
  <c r="AI83" i="1"/>
  <c r="AA83" i="1"/>
  <c r="AB83" i="1"/>
  <c r="AC83" i="1"/>
  <c r="AE83" i="1"/>
  <c r="T83" i="1"/>
  <c r="U83" i="1"/>
  <c r="V83" i="1"/>
  <c r="BN83" i="1"/>
  <c r="Y83" i="1"/>
  <c r="AM83" i="1"/>
  <c r="BO83" i="1"/>
  <c r="BH83" i="1"/>
  <c r="BJ83" i="1"/>
  <c r="AT83" i="1"/>
  <c r="I83" i="1" a="1"/>
  <c r="I83" i="1" s="1"/>
  <c r="H84" i="1" s="1"/>
  <c r="AN83" i="1"/>
  <c r="BP83" i="1"/>
  <c r="AU83" i="1"/>
  <c r="AF83" i="1"/>
  <c r="BK83" i="1"/>
  <c r="S83" i="1"/>
  <c r="BA83" i="1"/>
  <c r="BI83" i="1"/>
  <c r="BB83" i="1"/>
  <c r="R83" i="1"/>
  <c r="Z83" i="1"/>
  <c r="AG83" i="1"/>
  <c r="BL83" i="1"/>
  <c r="BM83" i="1"/>
  <c r="I84" i="1" l="1" a="1"/>
  <c r="I84" i="1" s="1"/>
  <c r="H85" i="1" s="1"/>
  <c r="P84" i="1"/>
  <c r="Q84" i="1"/>
  <c r="M84" i="1"/>
  <c r="N84" i="1"/>
  <c r="O84" i="1"/>
  <c r="BP84" i="1"/>
  <c r="BO84" i="1"/>
  <c r="BN84" i="1"/>
  <c r="BI84" i="1"/>
  <c r="S84" i="1"/>
  <c r="BB84" i="1"/>
  <c r="BM84" i="1"/>
  <c r="AU84" i="1"/>
  <c r="Y84" i="1"/>
  <c r="BK84" i="1"/>
  <c r="AM84" i="1"/>
  <c r="BJ84" i="1"/>
  <c r="AT84" i="1"/>
  <c r="AN84" i="1"/>
  <c r="AF84" i="1"/>
  <c r="R84" i="1"/>
  <c r="BL84" i="1"/>
  <c r="BH84" i="1"/>
  <c r="BA84" i="1"/>
  <c r="AG84" i="1"/>
  <c r="Z84" i="1"/>
  <c r="BC84" i="1"/>
  <c r="BE84" i="1"/>
  <c r="BF84" i="1"/>
  <c r="BD84" i="1"/>
  <c r="BG84" i="1"/>
  <c r="AV84" i="1"/>
  <c r="AO84" i="1"/>
  <c r="AP84" i="1"/>
  <c r="AQ84" i="1"/>
  <c r="AW84" i="1"/>
  <c r="AJ84" i="1"/>
  <c r="AX84" i="1"/>
  <c r="AK84" i="1"/>
  <c r="AY84" i="1"/>
  <c r="AZ84" i="1"/>
  <c r="AR84" i="1"/>
  <c r="AS84" i="1"/>
  <c r="AH84" i="1"/>
  <c r="AB84" i="1"/>
  <c r="AC84" i="1"/>
  <c r="AD84" i="1"/>
  <c r="T84" i="1"/>
  <c r="AE84" i="1"/>
  <c r="U84" i="1"/>
  <c r="V84" i="1"/>
  <c r="AI84" i="1"/>
  <c r="W84" i="1"/>
  <c r="AL84" i="1"/>
  <c r="X84" i="1"/>
  <c r="AA84" i="1"/>
  <c r="M85" i="1" l="1"/>
  <c r="N85" i="1"/>
  <c r="O85" i="1"/>
  <c r="P85" i="1"/>
  <c r="Q85" i="1"/>
  <c r="BF85" i="1"/>
  <c r="BC85" i="1"/>
  <c r="BD85" i="1"/>
  <c r="BE85" i="1"/>
  <c r="BG85" i="1"/>
  <c r="AV85" i="1"/>
  <c r="AW85" i="1"/>
  <c r="AX85" i="1"/>
  <c r="AY85" i="1"/>
  <c r="AZ85" i="1"/>
  <c r="AQ85" i="1"/>
  <c r="AR85" i="1"/>
  <c r="AS85" i="1"/>
  <c r="AJ85" i="1"/>
  <c r="AB85" i="1"/>
  <c r="AK85" i="1"/>
  <c r="AO85" i="1"/>
  <c r="AL85" i="1"/>
  <c r="AP85" i="1"/>
  <c r="U85" i="1"/>
  <c r="V85" i="1"/>
  <c r="W85" i="1"/>
  <c r="X85" i="1"/>
  <c r="AA85" i="1"/>
  <c r="AC85" i="1"/>
  <c r="T85" i="1"/>
  <c r="AH85" i="1"/>
  <c r="AI85" i="1"/>
  <c r="AD85" i="1"/>
  <c r="AE85" i="1"/>
  <c r="BB85" i="1"/>
  <c r="AG85" i="1"/>
  <c r="BI85" i="1"/>
  <c r="AM85" i="1"/>
  <c r="BA85" i="1"/>
  <c r="AU85" i="1"/>
  <c r="AF85" i="1"/>
  <c r="AT85" i="1"/>
  <c r="S85" i="1"/>
  <c r="R85" i="1"/>
  <c r="AN85" i="1"/>
  <c r="I85" i="1" a="1"/>
  <c r="I85" i="1" s="1"/>
  <c r="Z85" i="1"/>
  <c r="Y85" i="1"/>
  <c r="BJ85" i="1"/>
  <c r="BK85" i="1"/>
  <c r="BL85" i="1"/>
  <c r="BM85" i="1"/>
  <c r="BN85" i="1"/>
  <c r="BO85" i="1"/>
  <c r="BP85" i="1"/>
  <c r="BH85" i="1"/>
  <c r="H86" i="1" l="1"/>
  <c r="N86" i="1" l="1"/>
  <c r="O86" i="1"/>
  <c r="P86" i="1"/>
  <c r="Q86" i="1"/>
  <c r="M86" i="1"/>
  <c r="I86" i="1" a="1"/>
  <c r="I86" i="1" s="1"/>
  <c r="H87" i="1" s="1"/>
  <c r="BC86" i="1"/>
  <c r="BD86" i="1"/>
  <c r="BG86" i="1"/>
  <c r="BE86" i="1"/>
  <c r="BF86" i="1"/>
  <c r="AY86" i="1"/>
  <c r="AZ86" i="1"/>
  <c r="AV86" i="1"/>
  <c r="AW86" i="1"/>
  <c r="AX86" i="1"/>
  <c r="AO86" i="1"/>
  <c r="AP86" i="1"/>
  <c r="AH86" i="1"/>
  <c r="AQ86" i="1"/>
  <c r="AI86" i="1"/>
  <c r="AR86" i="1"/>
  <c r="AS86" i="1"/>
  <c r="AE86" i="1"/>
  <c r="AJ86" i="1"/>
  <c r="AK86" i="1"/>
  <c r="AA86" i="1"/>
  <c r="X86" i="1"/>
  <c r="AL86" i="1"/>
  <c r="AB86" i="1"/>
  <c r="AC86" i="1"/>
  <c r="AD86" i="1"/>
  <c r="T86" i="1"/>
  <c r="U86" i="1"/>
  <c r="V86" i="1"/>
  <c r="W86" i="1"/>
  <c r="H88" i="1" l="1"/>
  <c r="Q87" i="1"/>
  <c r="N87" i="1"/>
  <c r="M87" i="1"/>
  <c r="O87" i="1"/>
  <c r="P87" i="1"/>
  <c r="BD87" i="1"/>
  <c r="BF87" i="1"/>
  <c r="BG87" i="1"/>
  <c r="BC87" i="1"/>
  <c r="BE87" i="1"/>
  <c r="AV87" i="1"/>
  <c r="AW87" i="1"/>
  <c r="AO87" i="1"/>
  <c r="AP87" i="1"/>
  <c r="AQ87" i="1"/>
  <c r="AR87" i="1"/>
  <c r="AK87" i="1"/>
  <c r="AL87" i="1"/>
  <c r="AJ87" i="1"/>
  <c r="AS87" i="1"/>
  <c r="AE87" i="1"/>
  <c r="T87" i="1"/>
  <c r="AH87" i="1"/>
  <c r="U87" i="1"/>
  <c r="AI87" i="1"/>
  <c r="V87" i="1"/>
  <c r="AA87" i="1"/>
  <c r="W87" i="1"/>
  <c r="AB87" i="1"/>
  <c r="X87" i="1"/>
  <c r="AC87" i="1"/>
  <c r="AX87" i="1"/>
  <c r="AY87" i="1"/>
  <c r="AD87" i="1"/>
  <c r="AZ87" i="1"/>
  <c r="BB87" i="1"/>
  <c r="Y87" i="1"/>
  <c r="AF87" i="1"/>
  <c r="AN87" i="1"/>
  <c r="AM87" i="1"/>
  <c r="AT87" i="1"/>
  <c r="I87" i="1" a="1"/>
  <c r="I87" i="1" s="1"/>
  <c r="AG87" i="1"/>
  <c r="Z87" i="1"/>
  <c r="R87" i="1"/>
  <c r="BH87" i="1"/>
  <c r="AU87" i="1"/>
  <c r="BJ87" i="1"/>
  <c r="BA87" i="1"/>
  <c r="S87" i="1"/>
  <c r="BK87" i="1"/>
  <c r="BL87" i="1"/>
  <c r="BM87" i="1"/>
  <c r="BN87" i="1"/>
  <c r="BO87" i="1"/>
  <c r="BP87" i="1"/>
  <c r="BI87" i="1"/>
  <c r="M88" i="1" l="1"/>
  <c r="N88" i="1"/>
  <c r="O88" i="1"/>
  <c r="P88" i="1"/>
  <c r="Q88" i="1"/>
  <c r="BG88" i="1"/>
  <c r="BC88" i="1"/>
  <c r="BD88" i="1"/>
  <c r="BE88" i="1"/>
  <c r="BF88" i="1"/>
  <c r="AW88" i="1"/>
  <c r="AX88" i="1"/>
  <c r="AY88" i="1"/>
  <c r="AZ88" i="1"/>
  <c r="AR88" i="1"/>
  <c r="AS88" i="1"/>
  <c r="AC88" i="1"/>
  <c r="AH88" i="1"/>
  <c r="AI88" i="1"/>
  <c r="AJ88" i="1"/>
  <c r="V88" i="1"/>
  <c r="AO88" i="1"/>
  <c r="AA88" i="1"/>
  <c r="W88" i="1"/>
  <c r="AP88" i="1"/>
  <c r="AB88" i="1"/>
  <c r="X88" i="1"/>
  <c r="AQ88" i="1"/>
  <c r="AD88" i="1"/>
  <c r="AK88" i="1"/>
  <c r="AL88" i="1"/>
  <c r="T88" i="1"/>
  <c r="U88" i="1"/>
  <c r="AE88" i="1"/>
  <c r="AV88" i="1"/>
  <c r="BJ88" i="1"/>
  <c r="Y88" i="1"/>
  <c r="I88" i="1" a="1"/>
  <c r="I88" i="1" s="1"/>
  <c r="BA88" i="1"/>
  <c r="R88" i="1"/>
  <c r="AM88" i="1"/>
  <c r="BH88" i="1"/>
  <c r="AG88" i="1"/>
  <c r="Z88" i="1"/>
  <c r="AN88" i="1"/>
  <c r="AF88" i="1"/>
  <c r="BI88" i="1"/>
  <c r="AU88" i="1"/>
  <c r="S88" i="1"/>
  <c r="BB88" i="1"/>
  <c r="AT88" i="1"/>
  <c r="BK88" i="1"/>
  <c r="BL88" i="1"/>
  <c r="BM88" i="1"/>
  <c r="BN88" i="1"/>
  <c r="BO88" i="1"/>
  <c r="BP88" i="1"/>
  <c r="H89" i="1" l="1"/>
  <c r="O89" i="1" l="1"/>
  <c r="P89" i="1"/>
  <c r="Q89" i="1"/>
  <c r="M89" i="1"/>
  <c r="N89" i="1"/>
  <c r="BD89" i="1"/>
  <c r="BE89" i="1"/>
  <c r="BF89" i="1"/>
  <c r="BG89" i="1"/>
  <c r="BC89" i="1"/>
  <c r="AZ89" i="1"/>
  <c r="AV89" i="1"/>
  <c r="AW89" i="1"/>
  <c r="AX89" i="1"/>
  <c r="AO89" i="1"/>
  <c r="AY89" i="1"/>
  <c r="AP89" i="1"/>
  <c r="AQ89" i="1"/>
  <c r="AI89" i="1"/>
  <c r="AR89" i="1"/>
  <c r="AJ89" i="1"/>
  <c r="AS89" i="1"/>
  <c r="AL89" i="1"/>
  <c r="AD89" i="1"/>
  <c r="AE89" i="1"/>
  <c r="T89" i="1"/>
  <c r="U89" i="1"/>
  <c r="AH89" i="1"/>
  <c r="AK89" i="1"/>
  <c r="AA89" i="1"/>
  <c r="X89" i="1"/>
  <c r="AB89" i="1"/>
  <c r="V89" i="1"/>
  <c r="AC89" i="1"/>
  <c r="W89" i="1"/>
  <c r="AN89" i="1"/>
  <c r="Z89" i="1"/>
  <c r="S89" i="1"/>
  <c r="AT89" i="1"/>
  <c r="BH89" i="1"/>
  <c r="BA89" i="1"/>
  <c r="AU89" i="1"/>
  <c r="BB89" i="1"/>
  <c r="AG89" i="1"/>
  <c r="Y89" i="1"/>
  <c r="BJ89" i="1"/>
  <c r="I89" i="1" a="1"/>
  <c r="I89" i="1" s="1"/>
  <c r="AM89" i="1"/>
  <c r="R89" i="1"/>
  <c r="BI89" i="1"/>
  <c r="BL89" i="1"/>
  <c r="AF89" i="1"/>
  <c r="BM89" i="1"/>
  <c r="BN89" i="1"/>
  <c r="BO89" i="1"/>
  <c r="BP89" i="1"/>
  <c r="BK89" i="1"/>
  <c r="H90" i="1" l="1"/>
  <c r="M90" i="1" l="1"/>
  <c r="N90" i="1"/>
  <c r="O90" i="1"/>
  <c r="P90" i="1"/>
  <c r="Q90" i="1"/>
  <c r="BE90" i="1"/>
  <c r="BG90" i="1"/>
  <c r="BC90" i="1"/>
  <c r="BD90" i="1"/>
  <c r="BF90" i="1"/>
  <c r="AV90" i="1"/>
  <c r="AW90" i="1"/>
  <c r="AX90" i="1"/>
  <c r="AP90" i="1"/>
  <c r="AQ90" i="1"/>
  <c r="AR90" i="1"/>
  <c r="AS90" i="1"/>
  <c r="AY90" i="1"/>
  <c r="AL90" i="1"/>
  <c r="AZ90" i="1"/>
  <c r="AO90" i="1"/>
  <c r="AA90" i="1"/>
  <c r="AH90" i="1"/>
  <c r="AI90" i="1"/>
  <c r="AJ90" i="1"/>
  <c r="AK90" i="1"/>
  <c r="T90" i="1"/>
  <c r="U90" i="1"/>
  <c r="AB90" i="1"/>
  <c r="V90" i="1"/>
  <c r="AC90" i="1"/>
  <c r="W90" i="1"/>
  <c r="AD90" i="1"/>
  <c r="X90" i="1"/>
  <c r="AE90" i="1"/>
  <c r="Z90" i="1"/>
  <c r="BB90" i="1"/>
  <c r="AN90" i="1"/>
  <c r="BM90" i="1"/>
  <c r="S90" i="1"/>
  <c r="BA90" i="1"/>
  <c r="Y90" i="1"/>
  <c r="AF90" i="1"/>
  <c r="R90" i="1"/>
  <c r="AT90" i="1"/>
  <c r="BJ90" i="1"/>
  <c r="BI90" i="1"/>
  <c r="I90" i="1" a="1"/>
  <c r="I90" i="1" s="1"/>
  <c r="BH90" i="1"/>
  <c r="AU90" i="1"/>
  <c r="AM90" i="1"/>
  <c r="AG90" i="1"/>
  <c r="BK90" i="1"/>
  <c r="BN90" i="1"/>
  <c r="BO90" i="1"/>
  <c r="BP90" i="1"/>
  <c r="BL90" i="1"/>
  <c r="H91" i="1" l="1"/>
  <c r="H92" i="1" l="1"/>
  <c r="M91" i="1"/>
  <c r="N91" i="1"/>
  <c r="O91" i="1"/>
  <c r="P91" i="1"/>
  <c r="Q91" i="1"/>
  <c r="BC91" i="1"/>
  <c r="BG91" i="1"/>
  <c r="BD91" i="1"/>
  <c r="BE91" i="1"/>
  <c r="BF91" i="1"/>
  <c r="AX91" i="1"/>
  <c r="AY91" i="1"/>
  <c r="AZ91" i="1"/>
  <c r="AS91" i="1"/>
  <c r="AH91" i="1"/>
  <c r="AV91" i="1"/>
  <c r="AW91" i="1"/>
  <c r="AO91" i="1"/>
  <c r="AL91" i="1"/>
  <c r="AD91" i="1"/>
  <c r="AP91" i="1"/>
  <c r="AQ91" i="1"/>
  <c r="AR91" i="1"/>
  <c r="AC91" i="1"/>
  <c r="W91" i="1"/>
  <c r="AI91" i="1"/>
  <c r="AE91" i="1"/>
  <c r="X91" i="1"/>
  <c r="AJ91" i="1"/>
  <c r="AK91" i="1"/>
  <c r="T91" i="1"/>
  <c r="AA91" i="1"/>
  <c r="U91" i="1"/>
  <c r="AB91" i="1"/>
  <c r="V91" i="1"/>
  <c r="Z91" i="1"/>
  <c r="BA91" i="1"/>
  <c r="AN91" i="1"/>
  <c r="BN91" i="1"/>
  <c r="AF91" i="1"/>
  <c r="S91" i="1"/>
  <c r="AM91" i="1"/>
  <c r="AU91" i="1"/>
  <c r="BB91" i="1"/>
  <c r="BJ91" i="1"/>
  <c r="R91" i="1"/>
  <c r="BL91" i="1"/>
  <c r="BK91" i="1"/>
  <c r="Y91" i="1"/>
  <c r="I91" i="1" a="1"/>
  <c r="I91" i="1" s="1"/>
  <c r="AT91" i="1"/>
  <c r="BH91" i="1"/>
  <c r="BI91" i="1"/>
  <c r="AG91" i="1"/>
  <c r="BO91" i="1"/>
  <c r="BP91" i="1"/>
  <c r="BM91" i="1"/>
  <c r="P92" i="1" l="1"/>
  <c r="Q92" i="1"/>
  <c r="M92" i="1"/>
  <c r="N92" i="1"/>
  <c r="O92" i="1"/>
  <c r="BC92" i="1"/>
  <c r="BE92" i="1"/>
  <c r="BF92" i="1"/>
  <c r="BD92" i="1"/>
  <c r="BG92" i="1"/>
  <c r="AV92" i="1"/>
  <c r="AW92" i="1"/>
  <c r="AX92" i="1"/>
  <c r="AO92" i="1"/>
  <c r="AY92" i="1"/>
  <c r="AP92" i="1"/>
  <c r="AZ92" i="1"/>
  <c r="AQ92" i="1"/>
  <c r="AR92" i="1"/>
  <c r="AJ92" i="1"/>
  <c r="AS92" i="1"/>
  <c r="AK92" i="1"/>
  <c r="AH92" i="1"/>
  <c r="AI92" i="1"/>
  <c r="AL92" i="1"/>
  <c r="AA92" i="1"/>
  <c r="T92" i="1"/>
  <c r="AB92" i="1"/>
  <c r="U92" i="1"/>
  <c r="AC92" i="1"/>
  <c r="AD92" i="1"/>
  <c r="V92" i="1"/>
  <c r="AE92" i="1"/>
  <c r="W92" i="1"/>
  <c r="X92" i="1"/>
  <c r="BN92" i="1"/>
  <c r="AG92" i="1"/>
  <c r="BO92" i="1"/>
  <c r="BI92" i="1"/>
  <c r="BA92" i="1"/>
  <c r="AF92" i="1"/>
  <c r="BM92" i="1"/>
  <c r="BH92" i="1"/>
  <c r="BJ92" i="1"/>
  <c r="AT92" i="1"/>
  <c r="AN92" i="1"/>
  <c r="BK92" i="1"/>
  <c r="AU92" i="1"/>
  <c r="S92" i="1"/>
  <c r="BL92" i="1"/>
  <c r="R92" i="1"/>
  <c r="BB92" i="1"/>
  <c r="I92" i="1" a="1"/>
  <c r="I92" i="1" s="1"/>
  <c r="Y92" i="1"/>
  <c r="AM92" i="1"/>
  <c r="Z92" i="1"/>
  <c r="BP92" i="1"/>
  <c r="H93" i="1" l="1"/>
  <c r="M93" i="1" l="1"/>
  <c r="N93" i="1"/>
  <c r="O93" i="1"/>
  <c r="P93" i="1"/>
  <c r="Q93" i="1"/>
  <c r="I93" i="1" a="1"/>
  <c r="I93" i="1" s="1"/>
  <c r="H94" i="1" s="1"/>
  <c r="AN94" i="1" s="1"/>
  <c r="BF93" i="1"/>
  <c r="BC93" i="1"/>
  <c r="AV93" i="1"/>
  <c r="AW93" i="1"/>
  <c r="AX93" i="1"/>
  <c r="AY93" i="1"/>
  <c r="AQ93" i="1"/>
  <c r="AR93" i="1"/>
  <c r="AS93" i="1"/>
  <c r="AO93" i="1"/>
  <c r="AP93" i="1"/>
  <c r="BD93" i="1"/>
  <c r="AZ93" i="1"/>
  <c r="AL93" i="1"/>
  <c r="AB93" i="1"/>
  <c r="BE93" i="1"/>
  <c r="BG93" i="1"/>
  <c r="AC93" i="1"/>
  <c r="U93" i="1"/>
  <c r="AD93" i="1"/>
  <c r="V93" i="1"/>
  <c r="AE93" i="1"/>
  <c r="W93" i="1"/>
  <c r="X93" i="1"/>
  <c r="AH93" i="1"/>
  <c r="AI93" i="1"/>
  <c r="AA93" i="1"/>
  <c r="AJ93" i="1"/>
  <c r="AK93" i="1"/>
  <c r="T93" i="1"/>
  <c r="AM94" i="1" l="1"/>
  <c r="BH94" i="1"/>
  <c r="BM94" i="1"/>
  <c r="AG94" i="1"/>
  <c r="BL94" i="1"/>
  <c r="BB94" i="1"/>
  <c r="AF94" i="1"/>
  <c r="BP94" i="1"/>
  <c r="S94" i="1"/>
  <c r="AU94" i="1"/>
  <c r="AT94" i="1"/>
  <c r="BA94" i="1"/>
  <c r="N94" i="1"/>
  <c r="O94" i="1"/>
  <c r="P94" i="1"/>
  <c r="Q94" i="1"/>
  <c r="M94" i="1"/>
  <c r="BJ94" i="1"/>
  <c r="R94" i="1"/>
  <c r="BK94" i="1"/>
  <c r="BI94" i="1"/>
  <c r="BN94" i="1"/>
  <c r="Z94" i="1"/>
  <c r="BO94" i="1"/>
  <c r="Y94" i="1"/>
  <c r="I94" i="1" a="1"/>
  <c r="I94" i="1" s="1"/>
  <c r="H95" i="1" s="1"/>
  <c r="BC94" i="1"/>
  <c r="BD94" i="1"/>
  <c r="BF94" i="1"/>
  <c r="BG94" i="1"/>
  <c r="AY94" i="1"/>
  <c r="AZ94" i="1"/>
  <c r="AO94" i="1"/>
  <c r="AH94" i="1"/>
  <c r="AI94" i="1"/>
  <c r="AE94" i="1"/>
  <c r="AV94" i="1"/>
  <c r="AJ94" i="1"/>
  <c r="AW94" i="1"/>
  <c r="AK94" i="1"/>
  <c r="BE94" i="1"/>
  <c r="AX94" i="1"/>
  <c r="AL94" i="1"/>
  <c r="X94" i="1"/>
  <c r="AA94" i="1"/>
  <c r="AB94" i="1"/>
  <c r="T94" i="1"/>
  <c r="AP94" i="1"/>
  <c r="AC94" i="1"/>
  <c r="U94" i="1"/>
  <c r="AQ94" i="1"/>
  <c r="AD94" i="1"/>
  <c r="V94" i="1"/>
  <c r="W94" i="1"/>
  <c r="AR94" i="1"/>
  <c r="AS94" i="1"/>
  <c r="H96" i="1" l="1"/>
  <c r="Q95" i="1"/>
  <c r="M95" i="1"/>
  <c r="N95" i="1"/>
  <c r="O95" i="1"/>
  <c r="P95" i="1"/>
  <c r="BD95" i="1"/>
  <c r="BF95" i="1"/>
  <c r="BG95" i="1"/>
  <c r="BC95" i="1"/>
  <c r="BE95" i="1"/>
  <c r="AV95" i="1"/>
  <c r="AW95" i="1"/>
  <c r="AX95" i="1"/>
  <c r="AO95" i="1"/>
  <c r="AY95" i="1"/>
  <c r="AP95" i="1"/>
  <c r="AZ95" i="1"/>
  <c r="AQ95" i="1"/>
  <c r="AR95" i="1"/>
  <c r="AS95" i="1"/>
  <c r="AK95" i="1"/>
  <c r="AH95" i="1"/>
  <c r="AB95" i="1"/>
  <c r="AI95" i="1"/>
  <c r="AC95" i="1"/>
  <c r="T95" i="1"/>
  <c r="AJ95" i="1"/>
  <c r="AD95" i="1"/>
  <c r="U95" i="1"/>
  <c r="AL95" i="1"/>
  <c r="AE95" i="1"/>
  <c r="V95" i="1"/>
  <c r="AA95" i="1"/>
  <c r="W95" i="1"/>
  <c r="X95" i="1"/>
  <c r="AG95" i="1"/>
  <c r="BL95" i="1"/>
  <c r="BO95" i="1"/>
  <c r="AM95" i="1"/>
  <c r="BM95" i="1"/>
  <c r="AF95" i="1"/>
  <c r="BA95" i="1"/>
  <c r="AN95" i="1"/>
  <c r="BI95" i="1"/>
  <c r="AU95" i="1"/>
  <c r="BH95" i="1"/>
  <c r="Z95" i="1"/>
  <c r="S95" i="1"/>
  <c r="BB95" i="1"/>
  <c r="Y95" i="1"/>
  <c r="I95" i="1" a="1"/>
  <c r="I95" i="1" s="1"/>
  <c r="H97" i="1" s="1"/>
  <c r="R95" i="1"/>
  <c r="BK95" i="1"/>
  <c r="AT95" i="1"/>
  <c r="BN95" i="1"/>
  <c r="BJ95" i="1"/>
  <c r="BP95" i="1"/>
  <c r="O97" i="1" l="1"/>
  <c r="P97" i="1"/>
  <c r="Q97" i="1"/>
  <c r="M97" i="1"/>
  <c r="N97" i="1"/>
  <c r="M96" i="1"/>
  <c r="N96" i="1"/>
  <c r="O96" i="1"/>
  <c r="P96" i="1"/>
  <c r="Q96" i="1"/>
  <c r="BG96" i="1"/>
  <c r="BC96" i="1"/>
  <c r="BD96" i="1"/>
  <c r="BE96" i="1"/>
  <c r="BF96" i="1"/>
  <c r="AW96" i="1"/>
  <c r="AX96" i="1"/>
  <c r="AY96" i="1"/>
  <c r="AZ96" i="1"/>
  <c r="AR96" i="1"/>
  <c r="AS96" i="1"/>
  <c r="AV96" i="1"/>
  <c r="AO96" i="1"/>
  <c r="AP96" i="1"/>
  <c r="AQ96" i="1"/>
  <c r="AH96" i="1"/>
  <c r="AC96" i="1"/>
  <c r="AI96" i="1"/>
  <c r="AJ96" i="1"/>
  <c r="AK96" i="1"/>
  <c r="V96" i="1"/>
  <c r="W96" i="1"/>
  <c r="X96" i="1"/>
  <c r="AL96" i="1"/>
  <c r="AB96" i="1"/>
  <c r="AA96" i="1"/>
  <c r="AD96" i="1"/>
  <c r="U96" i="1"/>
  <c r="AE96" i="1"/>
  <c r="T96" i="1"/>
  <c r="BI96" i="1"/>
  <c r="AG96" i="1"/>
  <c r="BP96" i="1"/>
  <c r="AU96" i="1"/>
  <c r="BL96" i="1"/>
  <c r="BN96" i="1"/>
  <c r="BH96" i="1"/>
  <c r="BM96" i="1"/>
  <c r="Z96" i="1"/>
  <c r="BK96" i="1"/>
  <c r="BA96" i="1"/>
  <c r="BO96" i="1"/>
  <c r="AF96" i="1"/>
  <c r="AT96" i="1"/>
  <c r="AN96" i="1"/>
  <c r="BB96" i="1"/>
  <c r="Y96" i="1"/>
  <c r="BJ96" i="1"/>
  <c r="S96" i="1"/>
  <c r="AM96" i="1"/>
  <c r="R96" i="1"/>
  <c r="I96" i="1" a="1"/>
  <c r="I96" i="1" s="1"/>
  <c r="I97" i="1" l="1" a="1"/>
  <c r="I97" i="1" s="1"/>
  <c r="H98" i="1" s="1"/>
  <c r="BD97" i="1"/>
  <c r="BE97" i="1"/>
  <c r="BC97" i="1"/>
  <c r="BF97" i="1"/>
  <c r="BG97" i="1"/>
  <c r="AZ97" i="1"/>
  <c r="AO97" i="1"/>
  <c r="AP97" i="1"/>
  <c r="AV97" i="1"/>
  <c r="AI97" i="1"/>
  <c r="AW97" i="1"/>
  <c r="AX97" i="1"/>
  <c r="AY97" i="1"/>
  <c r="AQ97" i="1"/>
  <c r="AL97" i="1"/>
  <c r="AR97" i="1"/>
  <c r="AS97" i="1"/>
  <c r="AA97" i="1"/>
  <c r="AB97" i="1"/>
  <c r="AC97" i="1"/>
  <c r="AD97" i="1"/>
  <c r="T97" i="1"/>
  <c r="AE97" i="1"/>
  <c r="U97" i="1"/>
  <c r="AH97" i="1"/>
  <c r="V97" i="1"/>
  <c r="AJ97" i="1"/>
  <c r="W97" i="1"/>
  <c r="AK97" i="1"/>
  <c r="X97" i="1"/>
  <c r="M98" i="1" l="1"/>
  <c r="N98" i="1"/>
  <c r="O98" i="1"/>
  <c r="P98" i="1"/>
  <c r="Q98" i="1"/>
  <c r="I98" i="1" a="1"/>
  <c r="I98" i="1" s="1"/>
  <c r="H99" i="1" s="1"/>
  <c r="BE98" i="1"/>
  <c r="BC98" i="1"/>
  <c r="BD98" i="1"/>
  <c r="BF98" i="1"/>
  <c r="BG98" i="1"/>
  <c r="AV98" i="1"/>
  <c r="AW98" i="1"/>
  <c r="AX98" i="1"/>
  <c r="AY98" i="1"/>
  <c r="AP98" i="1"/>
  <c r="AZ98" i="1"/>
  <c r="AQ98" i="1"/>
  <c r="AR98" i="1"/>
  <c r="AS98" i="1"/>
  <c r="AL98" i="1"/>
  <c r="AA98" i="1"/>
  <c r="AH98" i="1"/>
  <c r="AI98" i="1"/>
  <c r="AO98" i="1"/>
  <c r="AJ98" i="1"/>
  <c r="AK98" i="1"/>
  <c r="AE98" i="1"/>
  <c r="T98" i="1"/>
  <c r="U98" i="1"/>
  <c r="V98" i="1"/>
  <c r="W98" i="1"/>
  <c r="AB98" i="1"/>
  <c r="X98" i="1"/>
  <c r="AC98" i="1"/>
  <c r="AD98" i="1"/>
  <c r="M99" i="1" l="1"/>
  <c r="N99" i="1"/>
  <c r="O99" i="1"/>
  <c r="P99" i="1"/>
  <c r="Q99" i="1"/>
  <c r="BC99" i="1"/>
  <c r="BE99" i="1"/>
  <c r="BF99" i="1"/>
  <c r="BG99" i="1"/>
  <c r="BD99" i="1"/>
  <c r="AX99" i="1"/>
  <c r="AY99" i="1"/>
  <c r="AZ99" i="1"/>
  <c r="AS99" i="1"/>
  <c r="AV99" i="1"/>
  <c r="AW99" i="1"/>
  <c r="AO99" i="1"/>
  <c r="AP99" i="1"/>
  <c r="AQ99" i="1"/>
  <c r="AR99" i="1"/>
  <c r="AK99" i="1"/>
  <c r="AD99" i="1"/>
  <c r="AL99" i="1"/>
  <c r="W99" i="1"/>
  <c r="AH99" i="1"/>
  <c r="AA99" i="1"/>
  <c r="X99" i="1"/>
  <c r="AI99" i="1"/>
  <c r="AB99" i="1"/>
  <c r="AJ99" i="1"/>
  <c r="AC99" i="1"/>
  <c r="AE99" i="1"/>
  <c r="U99" i="1"/>
  <c r="V99" i="1"/>
  <c r="T99" i="1"/>
  <c r="AU99" i="1"/>
  <c r="BN99" i="1"/>
  <c r="AT99" i="1"/>
  <c r="S99" i="1"/>
  <c r="BH99" i="1"/>
  <c r="BJ99" i="1"/>
  <c r="AN99" i="1"/>
  <c r="AG99" i="1"/>
  <c r="BO99" i="1"/>
  <c r="BB99" i="1"/>
  <c r="BI99" i="1"/>
  <c r="Z99" i="1"/>
  <c r="AM99" i="1"/>
  <c r="BM99" i="1"/>
  <c r="Y99" i="1"/>
  <c r="BL99" i="1"/>
  <c r="BK99" i="1"/>
  <c r="BA99" i="1"/>
  <c r="R99" i="1"/>
  <c r="AF99" i="1"/>
  <c r="BP99" i="1"/>
  <c r="I99" i="1" a="1"/>
  <c r="I99" i="1" s="1"/>
  <c r="H100" i="1" s="1"/>
  <c r="P100" i="1" l="1"/>
  <c r="Q100" i="1"/>
  <c r="N100" i="1"/>
  <c r="O100" i="1"/>
  <c r="M100" i="1"/>
  <c r="I100" i="1" a="1"/>
  <c r="I100" i="1" s="1"/>
  <c r="H101" i="1" s="1"/>
  <c r="BA101" i="1" s="1"/>
  <c r="BC100" i="1"/>
  <c r="BF100" i="1"/>
  <c r="BD100" i="1"/>
  <c r="BE100" i="1"/>
  <c r="BG100" i="1"/>
  <c r="AV100" i="1"/>
  <c r="AO100" i="1"/>
  <c r="AP100" i="1"/>
  <c r="AQ100" i="1"/>
  <c r="AJ100" i="1"/>
  <c r="AH100" i="1"/>
  <c r="AI100" i="1"/>
  <c r="AW100" i="1"/>
  <c r="AR100" i="1"/>
  <c r="AD100" i="1"/>
  <c r="AX100" i="1"/>
  <c r="AS100" i="1"/>
  <c r="AE100" i="1"/>
  <c r="AY100" i="1"/>
  <c r="T100" i="1"/>
  <c r="AZ100" i="1"/>
  <c r="U100" i="1"/>
  <c r="V100" i="1"/>
  <c r="AK100" i="1"/>
  <c r="W100" i="1"/>
  <c r="AL100" i="1"/>
  <c r="X100" i="1"/>
  <c r="AA100" i="1"/>
  <c r="AC100" i="1"/>
  <c r="AB100" i="1"/>
  <c r="BL101" i="1" l="1"/>
  <c r="BP101" i="1"/>
  <c r="AU101" i="1"/>
  <c r="AN101" i="1"/>
  <c r="AF101" i="1"/>
  <c r="R101" i="1"/>
  <c r="BK101" i="1"/>
  <c r="S101" i="1"/>
  <c r="BM101" i="1"/>
  <c r="BO101" i="1"/>
  <c r="BH101" i="1"/>
  <c r="BN101" i="1"/>
  <c r="M101" i="1"/>
  <c r="N101" i="1"/>
  <c r="O101" i="1"/>
  <c r="P101" i="1"/>
  <c r="Q101" i="1"/>
  <c r="AG101" i="1"/>
  <c r="BB101" i="1"/>
  <c r="I101" i="1" a="1"/>
  <c r="I101" i="1" s="1"/>
  <c r="H102" i="1" s="1"/>
  <c r="BE102" i="1" s="1"/>
  <c r="BJ101" i="1"/>
  <c r="Z101" i="1"/>
  <c r="BI101" i="1"/>
  <c r="AT101" i="1"/>
  <c r="AM101" i="1"/>
  <c r="Y101" i="1"/>
  <c r="BF101" i="1"/>
  <c r="BE101" i="1"/>
  <c r="BG101" i="1"/>
  <c r="BC101" i="1"/>
  <c r="BD101" i="1"/>
  <c r="AV101" i="1"/>
  <c r="AW101" i="1"/>
  <c r="AX101" i="1"/>
  <c r="AY101" i="1"/>
  <c r="AZ101" i="1"/>
  <c r="AQ101" i="1"/>
  <c r="AR101" i="1"/>
  <c r="AS101" i="1"/>
  <c r="AJ101" i="1"/>
  <c r="AB101" i="1"/>
  <c r="AK101" i="1"/>
  <c r="AL101" i="1"/>
  <c r="U101" i="1"/>
  <c r="V101" i="1"/>
  <c r="AO101" i="1"/>
  <c r="AA101" i="1"/>
  <c r="W101" i="1"/>
  <c r="AP101" i="1"/>
  <c r="AC101" i="1"/>
  <c r="X101" i="1"/>
  <c r="AD101" i="1"/>
  <c r="AE101" i="1"/>
  <c r="T101" i="1"/>
  <c r="AH101" i="1"/>
  <c r="AI101" i="1"/>
  <c r="AM102" i="1" l="1"/>
  <c r="AU102" i="1"/>
  <c r="AK102" i="1"/>
  <c r="AN102" i="1"/>
  <c r="AL102" i="1"/>
  <c r="AZ102" i="1"/>
  <c r="AD102" i="1"/>
  <c r="AH102" i="1"/>
  <c r="AV102" i="1"/>
  <c r="BL102" i="1"/>
  <c r="Z102" i="1"/>
  <c r="BJ102" i="1"/>
  <c r="AG102" i="1"/>
  <c r="I102" i="1" a="1"/>
  <c r="I102" i="1" s="1"/>
  <c r="H103" i="1" s="1"/>
  <c r="AV103" i="1" s="1"/>
  <c r="BA102" i="1"/>
  <c r="R102" i="1"/>
  <c r="T102" i="1"/>
  <c r="AQ102" i="1"/>
  <c r="BH102" i="1"/>
  <c r="AI102" i="1"/>
  <c r="AY102" i="1"/>
  <c r="BG102" i="1"/>
  <c r="W102" i="1"/>
  <c r="AS102" i="1"/>
  <c r="X102" i="1"/>
  <c r="Y102" i="1"/>
  <c r="AF102" i="1"/>
  <c r="BN102" i="1"/>
  <c r="BO102" i="1"/>
  <c r="BK102" i="1"/>
  <c r="BB102" i="1"/>
  <c r="AT102" i="1"/>
  <c r="BP102" i="1"/>
  <c r="V102" i="1"/>
  <c r="AR102" i="1"/>
  <c r="U102" i="1"/>
  <c r="AC102" i="1"/>
  <c r="AP102" i="1"/>
  <c r="BF102" i="1"/>
  <c r="AB102" i="1"/>
  <c r="AJ102" i="1"/>
  <c r="AO102" i="1"/>
  <c r="N102" i="1"/>
  <c r="O102" i="1"/>
  <c r="P102" i="1"/>
  <c r="Q102" i="1"/>
  <c r="M102" i="1"/>
  <c r="AX102" i="1"/>
  <c r="BC102" i="1"/>
  <c r="S102" i="1"/>
  <c r="BM102" i="1"/>
  <c r="BI102" i="1"/>
  <c r="AA102" i="1"/>
  <c r="AE102" i="1"/>
  <c r="AW102" i="1"/>
  <c r="BD102" i="1"/>
  <c r="I103" i="1" l="1" a="1"/>
  <c r="I103" i="1" s="1"/>
  <c r="H104" i="1" s="1"/>
  <c r="H105" i="1" s="1"/>
  <c r="I105" i="1" s="1" a="1"/>
  <c r="I105" i="1" s="1"/>
  <c r="H106" i="1" s="1"/>
  <c r="I106" i="1" s="1" a="1"/>
  <c r="I106" i="1" s="1"/>
  <c r="H107" i="1" s="1"/>
  <c r="I107" i="1" s="1" a="1"/>
  <c r="I107" i="1" s="1"/>
  <c r="H108" i="1" s="1"/>
  <c r="I108" i="1" s="1" a="1"/>
  <c r="I108" i="1" s="1"/>
  <c r="H109" i="1" s="1"/>
  <c r="R103" i="1"/>
  <c r="X103" i="1"/>
  <c r="AX103" i="1"/>
  <c r="AR103" i="1"/>
  <c r="AM103" i="1"/>
  <c r="BK103" i="1"/>
  <c r="BB103" i="1"/>
  <c r="AP103" i="1"/>
  <c r="BC103" i="1"/>
  <c r="Z103" i="1"/>
  <c r="V103" i="1"/>
  <c r="BD103" i="1"/>
  <c r="N103" i="1"/>
  <c r="BM103" i="1"/>
  <c r="AC103" i="1"/>
  <c r="P103" i="1"/>
  <c r="BF103" i="1"/>
  <c r="BP103" i="1"/>
  <c r="T103" i="1"/>
  <c r="AL103" i="1"/>
  <c r="AN103" i="1"/>
  <c r="AI103" i="1"/>
  <c r="BL103" i="1"/>
  <c r="BA103" i="1"/>
  <c r="BI103" i="1"/>
  <c r="W103" i="1"/>
  <c r="AJ103" i="1"/>
  <c r="AQ103" i="1"/>
  <c r="BG103" i="1"/>
  <c r="O103" i="1"/>
  <c r="AO103" i="1"/>
  <c r="BO103" i="1"/>
  <c r="AS103" i="1"/>
  <c r="M103" i="1"/>
  <c r="BN103" i="1"/>
  <c r="AZ103" i="1"/>
  <c r="Q103" i="1"/>
  <c r="AF103" i="1"/>
  <c r="AB103" i="1"/>
  <c r="S103" i="1"/>
  <c r="AH103" i="1"/>
  <c r="AG103" i="1"/>
  <c r="AE103" i="1"/>
  <c r="U103" i="1"/>
  <c r="AY103" i="1"/>
  <c r="BE103" i="1"/>
  <c r="BJ103" i="1"/>
  <c r="AT103" i="1"/>
  <c r="AW103" i="1"/>
  <c r="BH103" i="1"/>
  <c r="AU103" i="1"/>
  <c r="Y103" i="1"/>
  <c r="AD103" i="1"/>
  <c r="AA103" i="1"/>
  <c r="AK103" i="1"/>
  <c r="M104" i="1"/>
  <c r="N104" i="1"/>
  <c r="O104" i="1"/>
  <c r="P104" i="1"/>
  <c r="Q104" i="1"/>
  <c r="BG104" i="1"/>
  <c r="BC104" i="1"/>
  <c r="BD104" i="1"/>
  <c r="BE104" i="1"/>
  <c r="BF104" i="1"/>
  <c r="AW104" i="1"/>
  <c r="AX104" i="1"/>
  <c r="AY104" i="1"/>
  <c r="AZ104" i="1"/>
  <c r="AR104" i="1"/>
  <c r="AS104" i="1"/>
  <c r="AV104" i="1"/>
  <c r="AC104" i="1"/>
  <c r="AO104" i="1"/>
  <c r="AP104" i="1"/>
  <c r="AQ104" i="1"/>
  <c r="AH104" i="1"/>
  <c r="AB104" i="1"/>
  <c r="V104" i="1"/>
  <c r="AD104" i="1"/>
  <c r="W104" i="1"/>
  <c r="AE104" i="1"/>
  <c r="X104" i="1"/>
  <c r="AI104" i="1"/>
  <c r="AJ104" i="1"/>
  <c r="AK104" i="1"/>
  <c r="T104" i="1"/>
  <c r="AL104" i="1"/>
  <c r="U104" i="1"/>
  <c r="AA104" i="1"/>
  <c r="BM104" i="1"/>
  <c r="BH104" i="1"/>
  <c r="BN104" i="1"/>
  <c r="R104" i="1"/>
  <c r="BJ104" i="1"/>
  <c r="I104" i="1" a="1"/>
  <c r="I104" i="1" s="1"/>
  <c r="AN104" i="1"/>
  <c r="Z104" i="1"/>
  <c r="BK104" i="1"/>
  <c r="BP104" i="1"/>
  <c r="AM104" i="1"/>
  <c r="BA104" i="1"/>
  <c r="BB104" i="1"/>
  <c r="BO104" i="1"/>
  <c r="Y104" i="1"/>
  <c r="BL104" i="1"/>
  <c r="AT104" i="1"/>
  <c r="AF104" i="1"/>
  <c r="AU104" i="1"/>
  <c r="AG104" i="1"/>
  <c r="BI104" i="1"/>
  <c r="S104" i="1"/>
  <c r="I109" i="1" l="1" a="1"/>
  <c r="I109" i="1" s="1"/>
  <c r="H110" i="1"/>
  <c r="I110" i="1" s="1" a="1"/>
  <c r="I110" i="1" s="1"/>
  <c r="H111" i="1" s="1"/>
  <c r="I111" i="1" s="1" a="1"/>
  <c r="I111" i="1" s="1"/>
  <c r="H112" i="1" s="1"/>
  <c r="I112" i="1" s="1" a="1"/>
  <c r="I112" i="1" s="1"/>
  <c r="H113" i="1" s="1"/>
  <c r="O105" i="1"/>
  <c r="P105" i="1"/>
  <c r="Q105" i="1"/>
  <c r="M105" i="1"/>
  <c r="N105" i="1"/>
  <c r="BE105" i="1"/>
  <c r="BG105" i="1"/>
  <c r="BC105" i="1"/>
  <c r="BD105" i="1"/>
  <c r="BF105" i="1"/>
  <c r="AZ105" i="1"/>
  <c r="AV105" i="1"/>
  <c r="AW105" i="1"/>
  <c r="AX105" i="1"/>
  <c r="AO105" i="1"/>
  <c r="AY105" i="1"/>
  <c r="AP105" i="1"/>
  <c r="AQ105" i="1"/>
  <c r="AI105" i="1"/>
  <c r="AR105" i="1"/>
  <c r="AS105" i="1"/>
  <c r="AH105" i="1"/>
  <c r="AJ105" i="1"/>
  <c r="AK105" i="1"/>
  <c r="AL105" i="1"/>
  <c r="AA105" i="1"/>
  <c r="T105" i="1"/>
  <c r="AB105" i="1"/>
  <c r="U105" i="1"/>
  <c r="AC105" i="1"/>
  <c r="AD105" i="1"/>
  <c r="AE105" i="1"/>
  <c r="W105" i="1"/>
  <c r="X105" i="1"/>
  <c r="V105" i="1"/>
  <c r="BL105" i="1"/>
  <c r="AU105" i="1"/>
  <c r="BM105" i="1"/>
  <c r="Y105" i="1"/>
  <c r="S105" i="1"/>
  <c r="BI105" i="1"/>
  <c r="Z105" i="1"/>
  <c r="BA105" i="1"/>
  <c r="R105" i="1"/>
  <c r="BJ105" i="1"/>
  <c r="AM105" i="1"/>
  <c r="AN105" i="1"/>
  <c r="BN105" i="1"/>
  <c r="BH105" i="1"/>
  <c r="BP105" i="1"/>
  <c r="AF105" i="1"/>
  <c r="BK105" i="1"/>
  <c r="AT105" i="1"/>
  <c r="AG105" i="1"/>
  <c r="BO105" i="1"/>
  <c r="BB105" i="1"/>
  <c r="I113" i="1" l="1" a="1"/>
  <c r="I113" i="1" s="1"/>
  <c r="H114" i="1"/>
  <c r="H115" i="1" s="1"/>
  <c r="N106" i="1"/>
  <c r="O106" i="1"/>
  <c r="P106" i="1"/>
  <c r="Q106" i="1"/>
  <c r="M106" i="1"/>
  <c r="BD106" i="1"/>
  <c r="BE106" i="1"/>
  <c r="BF106" i="1"/>
  <c r="BG106" i="1"/>
  <c r="BC106" i="1"/>
  <c r="AV106" i="1"/>
  <c r="AW106" i="1"/>
  <c r="AX106" i="1"/>
  <c r="AY106" i="1"/>
  <c r="AZ106" i="1"/>
  <c r="AQ106" i="1"/>
  <c r="AR106" i="1"/>
  <c r="AS106" i="1"/>
  <c r="AL106" i="1"/>
  <c r="AO106" i="1"/>
  <c r="AP106" i="1"/>
  <c r="AH106" i="1"/>
  <c r="AE106" i="1"/>
  <c r="AI106" i="1"/>
  <c r="AJ106" i="1"/>
  <c r="AK106" i="1"/>
  <c r="AA106" i="1"/>
  <c r="AB106" i="1"/>
  <c r="V106" i="1"/>
  <c r="AC106" i="1"/>
  <c r="T106" i="1"/>
  <c r="AD106" i="1"/>
  <c r="U106" i="1"/>
  <c r="W106" i="1"/>
  <c r="X106" i="1"/>
  <c r="I114" i="1" l="1" a="1"/>
  <c r="I114" i="1" s="1"/>
  <c r="I115" i="1" s="1" a="1"/>
  <c r="I115" i="1" s="1"/>
  <c r="H116" i="1" s="1"/>
  <c r="I116" i="1" s="1" a="1"/>
  <c r="I116" i="1" s="1"/>
  <c r="H117" i="1" s="1"/>
  <c r="I117" i="1" s="1" a="1"/>
  <c r="I117" i="1" s="1"/>
  <c r="H118" i="1" s="1"/>
  <c r="I118" i="1" s="1" a="1"/>
  <c r="I118" i="1" s="1"/>
  <c r="H119" i="1" s="1"/>
  <c r="I119" i="1" s="1" a="1"/>
  <c r="I119" i="1" s="1"/>
  <c r="H120" i="1" s="1"/>
  <c r="I120" i="1" s="1" a="1"/>
  <c r="I120" i="1" s="1"/>
  <c r="H121" i="1" s="1"/>
  <c r="I121" i="1" s="1" a="1"/>
  <c r="I121" i="1" s="1"/>
  <c r="H122" i="1" s="1"/>
  <c r="I122" i="1" s="1" a="1"/>
  <c r="I122" i="1" s="1"/>
  <c r="H123" i="1" s="1"/>
  <c r="I123" i="1" s="1" a="1"/>
  <c r="I123" i="1" s="1"/>
  <c r="Q107" i="1"/>
  <c r="M107" i="1"/>
  <c r="P107" i="1"/>
  <c r="O107" i="1"/>
  <c r="N107" i="1"/>
  <c r="BG107" i="1"/>
  <c r="AV107" i="1"/>
  <c r="AZ107" i="1"/>
  <c r="AQ107" i="1"/>
  <c r="BC107" i="1"/>
  <c r="BD107" i="1"/>
  <c r="AW107" i="1"/>
  <c r="BE107" i="1"/>
  <c r="AX107" i="1"/>
  <c r="BF107" i="1"/>
  <c r="AY107" i="1"/>
  <c r="AO107" i="1"/>
  <c r="AH107" i="1"/>
  <c r="AI107" i="1"/>
  <c r="AJ107" i="1"/>
  <c r="AP107" i="1"/>
  <c r="U107" i="1"/>
  <c r="AR107" i="1"/>
  <c r="AA107" i="1"/>
  <c r="AS107" i="1"/>
  <c r="AB107" i="1"/>
  <c r="AC107" i="1"/>
  <c r="V107" i="1"/>
  <c r="X107" i="1"/>
  <c r="AK107" i="1"/>
  <c r="W107" i="1"/>
  <c r="AE107" i="1"/>
  <c r="AD107" i="1"/>
  <c r="AL107" i="1"/>
  <c r="T107" i="1"/>
  <c r="H124" i="1" l="1"/>
  <c r="I124" i="1" a="1"/>
  <c r="I124" i="1" s="1"/>
  <c r="H125" i="1" s="1"/>
  <c r="I125" i="1" s="1" a="1"/>
  <c r="I125" i="1" s="1"/>
  <c r="H126" i="1" s="1"/>
  <c r="I126" i="1" s="1" a="1"/>
  <c r="I126" i="1" s="1"/>
  <c r="H127" i="1" s="1"/>
  <c r="I127" i="1" s="1" a="1"/>
  <c r="I127" i="1" s="1"/>
  <c r="H128" i="1" s="1"/>
  <c r="I128" i="1" s="1" a="1"/>
  <c r="I128" i="1" s="1"/>
  <c r="H129" i="1" s="1"/>
  <c r="I129" i="1" s="1" a="1"/>
  <c r="I129" i="1" s="1"/>
  <c r="H130" i="1" s="1"/>
  <c r="I130" i="1" s="1" a="1"/>
  <c r="I130" i="1" s="1"/>
  <c r="H131" i="1" s="1"/>
  <c r="I131" i="1" s="1" a="1"/>
  <c r="I131" i="1" s="1"/>
  <c r="H132" i="1" s="1"/>
  <c r="I132" i="1" s="1" a="1"/>
  <c r="I132" i="1" s="1"/>
  <c r="H133" i="1" s="1"/>
  <c r="I133" i="1" s="1" a="1"/>
  <c r="I133" i="1" s="1"/>
  <c r="H134" i="1" s="1"/>
  <c r="M108" i="1"/>
  <c r="N108" i="1"/>
  <c r="O108" i="1"/>
  <c r="P108" i="1"/>
  <c r="Q108" i="1"/>
  <c r="BC108" i="1"/>
  <c r="BD108" i="1"/>
  <c r="BE108" i="1"/>
  <c r="BF108" i="1"/>
  <c r="AY108" i="1"/>
  <c r="BG108" i="1"/>
  <c r="AV108" i="1"/>
  <c r="AW108" i="1"/>
  <c r="AX108" i="1"/>
  <c r="AP108" i="1"/>
  <c r="AQ108" i="1"/>
  <c r="AR108" i="1"/>
  <c r="AS108" i="1"/>
  <c r="AJ108" i="1"/>
  <c r="AK108" i="1"/>
  <c r="AL108" i="1"/>
  <c r="AZ108" i="1"/>
  <c r="AC108" i="1"/>
  <c r="X108" i="1"/>
  <c r="AD108" i="1"/>
  <c r="AE108" i="1"/>
  <c r="AO108" i="1"/>
  <c r="U108" i="1"/>
  <c r="T108" i="1"/>
  <c r="AH108" i="1"/>
  <c r="W108" i="1"/>
  <c r="AA108" i="1"/>
  <c r="AB108" i="1"/>
  <c r="AI108" i="1"/>
  <c r="V108" i="1"/>
  <c r="I134" i="1" l="1" a="1"/>
  <c r="I134" i="1" s="1"/>
  <c r="H135" i="1"/>
  <c r="O109" i="1"/>
  <c r="P109" i="1"/>
  <c r="Q109" i="1"/>
  <c r="M109" i="1"/>
  <c r="N109" i="1"/>
  <c r="BE109" i="1"/>
  <c r="BF109" i="1"/>
  <c r="BG109" i="1"/>
  <c r="BC109" i="1"/>
  <c r="BD109" i="1"/>
  <c r="AY109" i="1"/>
  <c r="AO109" i="1"/>
  <c r="AZ109" i="1"/>
  <c r="AP109" i="1"/>
  <c r="AQ109" i="1"/>
  <c r="AR109" i="1"/>
  <c r="AS109" i="1"/>
  <c r="AH109" i="1"/>
  <c r="AI109" i="1"/>
  <c r="AV109" i="1"/>
  <c r="AJ109" i="1"/>
  <c r="AW109" i="1"/>
  <c r="AK109" i="1"/>
  <c r="AX109" i="1"/>
  <c r="AL109" i="1"/>
  <c r="AA109" i="1"/>
  <c r="AB109" i="1"/>
  <c r="U109" i="1"/>
  <c r="AC109" i="1"/>
  <c r="V109" i="1"/>
  <c r="AD109" i="1"/>
  <c r="W109" i="1"/>
  <c r="AE109" i="1"/>
  <c r="X109" i="1"/>
  <c r="T109" i="1"/>
  <c r="I135" i="1" l="1" a="1"/>
  <c r="I135" i="1" s="1"/>
  <c r="H136" i="1" s="1"/>
  <c r="I136" i="1" s="1" a="1"/>
  <c r="I136" i="1" s="1"/>
  <c r="H137" i="1" s="1"/>
  <c r="I137" i="1" s="1" a="1"/>
  <c r="I137" i="1" s="1"/>
  <c r="H138" i="1" s="1"/>
  <c r="I138" i="1" s="1" a="1"/>
  <c r="I138" i="1" s="1"/>
  <c r="H139" i="1" s="1"/>
  <c r="I139" i="1" s="1" a="1"/>
  <c r="I139" i="1" s="1"/>
  <c r="M110" i="1"/>
  <c r="O110" i="1"/>
  <c r="N110" i="1"/>
  <c r="P110" i="1"/>
  <c r="Q110" i="1"/>
  <c r="BC110" i="1"/>
  <c r="AW110" i="1"/>
  <c r="BD110" i="1"/>
  <c r="AR110" i="1"/>
  <c r="BE110" i="1"/>
  <c r="BF110" i="1"/>
  <c r="AV110" i="1"/>
  <c r="BG110" i="1"/>
  <c r="AX110" i="1"/>
  <c r="AY110" i="1"/>
  <c r="AO110" i="1"/>
  <c r="AZ110" i="1"/>
  <c r="AP110" i="1"/>
  <c r="AQ110" i="1"/>
  <c r="AS110" i="1"/>
  <c r="AH110" i="1"/>
  <c r="AI110" i="1"/>
  <c r="AJ110" i="1"/>
  <c r="AK110" i="1"/>
  <c r="AA110" i="1"/>
  <c r="V110" i="1"/>
  <c r="AB110" i="1"/>
  <c r="AC110" i="1"/>
  <c r="AD110" i="1"/>
  <c r="AL110" i="1"/>
  <c r="T110" i="1"/>
  <c r="AE110" i="1"/>
  <c r="U110" i="1"/>
  <c r="X110" i="1"/>
  <c r="W110" i="1"/>
  <c r="BN110" i="1"/>
  <c r="BH110" i="1"/>
  <c r="Z110" i="1"/>
  <c r="AG110" i="1"/>
  <c r="AF110" i="1"/>
  <c r="R110" i="1"/>
  <c r="BB110" i="1"/>
  <c r="AU110" i="1"/>
  <c r="AM110" i="1"/>
  <c r="BA110" i="1"/>
  <c r="Y110" i="1"/>
  <c r="S110" i="1"/>
  <c r="BP110" i="1"/>
  <c r="AT110" i="1"/>
  <c r="AN110" i="1"/>
  <c r="BK110" i="1"/>
  <c r="BO110" i="1"/>
  <c r="BI110" i="1"/>
  <c r="BL110" i="1"/>
  <c r="BJ110" i="1"/>
  <c r="BM110" i="1"/>
  <c r="H140" i="1" l="1"/>
  <c r="I140" i="1" a="1"/>
  <c r="I140" i="1" s="1"/>
  <c r="H141" i="1" s="1"/>
  <c r="I141" i="1" s="1" a="1"/>
  <c r="I141" i="1" s="1"/>
  <c r="H142" i="1" s="1"/>
  <c r="I142" i="1" s="1" a="1"/>
  <c r="I142" i="1" s="1"/>
  <c r="H143" i="1" s="1"/>
  <c r="I143" i="1" s="1" a="1"/>
  <c r="I143" i="1" s="1"/>
  <c r="H144" i="1" s="1"/>
  <c r="I144" i="1" s="1" a="1"/>
  <c r="I144" i="1" s="1"/>
  <c r="H145" i="1" s="1"/>
  <c r="I145" i="1" s="1" a="1"/>
  <c r="I145" i="1" s="1"/>
  <c r="H146" i="1" s="1"/>
  <c r="I146" i="1" s="1" a="1"/>
  <c r="I146" i="1" s="1"/>
  <c r="H147" i="1" s="1"/>
  <c r="I147" i="1" s="1" a="1"/>
  <c r="I147" i="1" s="1"/>
  <c r="H148" i="1" s="1"/>
  <c r="I148" i="1" s="1" a="1"/>
  <c r="I148" i="1" s="1"/>
  <c r="H149" i="1" s="1"/>
  <c r="I149" i="1" s="1" a="1"/>
  <c r="I149" i="1" s="1"/>
  <c r="H150" i="1" s="1"/>
  <c r="I150" i="1" s="1" a="1"/>
  <c r="I150" i="1" s="1"/>
  <c r="H151" i="1" s="1"/>
  <c r="H152" i="1" s="1"/>
  <c r="M111" i="1"/>
  <c r="N111" i="1"/>
  <c r="O111" i="1"/>
  <c r="P111" i="1"/>
  <c r="Q111" i="1"/>
  <c r="BC111" i="1"/>
  <c r="BD111" i="1"/>
  <c r="BE111" i="1"/>
  <c r="BF111" i="1"/>
  <c r="BG111" i="1"/>
  <c r="AZ111" i="1"/>
  <c r="AX111" i="1"/>
  <c r="AY111" i="1"/>
  <c r="AS111" i="1"/>
  <c r="AV111" i="1"/>
  <c r="AW111" i="1"/>
  <c r="AK111" i="1"/>
  <c r="AL111" i="1"/>
  <c r="AD111" i="1"/>
  <c r="AE111" i="1"/>
  <c r="AO111" i="1"/>
  <c r="T111" i="1"/>
  <c r="AP111" i="1"/>
  <c r="AH111" i="1"/>
  <c r="U111" i="1"/>
  <c r="V111" i="1"/>
  <c r="AQ111" i="1"/>
  <c r="AI111" i="1"/>
  <c r="AA111" i="1"/>
  <c r="AR111" i="1"/>
  <c r="AJ111" i="1"/>
  <c r="W111" i="1"/>
  <c r="X111" i="1"/>
  <c r="AB111" i="1"/>
  <c r="AC111" i="1"/>
  <c r="I151" i="1" l="1" a="1"/>
  <c r="I151" i="1" s="1"/>
  <c r="I152" i="1" a="1"/>
  <c r="I152" i="1" s="1"/>
  <c r="H153" i="1" s="1"/>
  <c r="I153" i="1" s="1" a="1"/>
  <c r="I153" i="1" s="1"/>
  <c r="H154" i="1" s="1"/>
  <c r="I154" i="1" s="1" a="1"/>
  <c r="I154" i="1" s="1"/>
  <c r="H155" i="1" s="1"/>
  <c r="I155" i="1" s="1" a="1"/>
  <c r="I155" i="1" s="1"/>
  <c r="H156" i="1" s="1"/>
  <c r="I156" i="1" s="1" a="1"/>
  <c r="I156" i="1" s="1"/>
  <c r="H157" i="1" s="1"/>
  <c r="I157" i="1" s="1" a="1"/>
  <c r="I157" i="1" s="1"/>
  <c r="H158" i="1" s="1"/>
  <c r="I158" i="1" s="1" a="1"/>
  <c r="I158" i="1" s="1"/>
  <c r="H159" i="1" s="1"/>
  <c r="I159" i="1" s="1" a="1"/>
  <c r="I159" i="1" s="1"/>
  <c r="H160" i="1" s="1"/>
  <c r="I160" i="1" s="1" a="1"/>
  <c r="I160" i="1" s="1"/>
  <c r="P112" i="1"/>
  <c r="Q112" i="1"/>
  <c r="M112" i="1"/>
  <c r="N112" i="1"/>
  <c r="O112" i="1"/>
  <c r="BF112" i="1"/>
  <c r="BG112" i="1"/>
  <c r="BC112" i="1"/>
  <c r="BD112" i="1"/>
  <c r="BE112" i="1"/>
  <c r="AP112" i="1"/>
  <c r="AV112" i="1"/>
  <c r="AW112" i="1"/>
  <c r="AO112" i="1"/>
  <c r="AQ112" i="1"/>
  <c r="AR112" i="1"/>
  <c r="AX112" i="1"/>
  <c r="AS112" i="1"/>
  <c r="AY112" i="1"/>
  <c r="AZ112" i="1"/>
  <c r="AH112" i="1"/>
  <c r="AI112" i="1"/>
  <c r="AJ112" i="1"/>
  <c r="T112" i="1"/>
  <c r="AK112" i="1"/>
  <c r="AL112" i="1"/>
  <c r="AA112" i="1"/>
  <c r="AB112" i="1"/>
  <c r="AC112" i="1"/>
  <c r="X112" i="1"/>
  <c r="AD112" i="1"/>
  <c r="AE112" i="1"/>
  <c r="U112" i="1"/>
  <c r="W112" i="1"/>
  <c r="V112" i="1"/>
  <c r="H161" i="1" l="1"/>
  <c r="I161" i="1" s="1" a="1"/>
  <c r="I161" i="1" s="1"/>
  <c r="H162" i="1" s="1"/>
  <c r="I162" i="1" s="1" a="1"/>
  <c r="I162" i="1" s="1"/>
  <c r="M113" i="1"/>
  <c r="N113" i="1"/>
  <c r="P113" i="1"/>
  <c r="O113" i="1"/>
  <c r="Q113" i="1"/>
  <c r="BC113" i="1"/>
  <c r="BD113" i="1"/>
  <c r="AX113" i="1"/>
  <c r="AW113" i="1"/>
  <c r="AS113" i="1"/>
  <c r="AY113" i="1"/>
  <c r="AZ113" i="1"/>
  <c r="AR113" i="1"/>
  <c r="AI113" i="1"/>
  <c r="AO113" i="1"/>
  <c r="AJ113" i="1"/>
  <c r="AP113" i="1"/>
  <c r="AK113" i="1"/>
  <c r="AV113" i="1"/>
  <c r="AQ113" i="1"/>
  <c r="AL113" i="1"/>
  <c r="AB113" i="1"/>
  <c r="W113" i="1"/>
  <c r="AC113" i="1"/>
  <c r="AD113" i="1"/>
  <c r="AH113" i="1"/>
  <c r="AE113" i="1"/>
  <c r="BF113" i="1"/>
  <c r="T113" i="1"/>
  <c r="BE113" i="1"/>
  <c r="U113" i="1"/>
  <c r="X113" i="1"/>
  <c r="AA113" i="1"/>
  <c r="V113" i="1"/>
  <c r="BG113" i="1"/>
  <c r="AU113" i="1"/>
  <c r="BO113" i="1"/>
  <c r="BH113" i="1"/>
  <c r="BI113" i="1"/>
  <c r="AG113" i="1"/>
  <c r="Y113" i="1"/>
  <c r="AF113" i="1"/>
  <c r="R113" i="1"/>
  <c r="BN113" i="1"/>
  <c r="BB113" i="1"/>
  <c r="BL113" i="1"/>
  <c r="BP113" i="1"/>
  <c r="BJ113" i="1"/>
  <c r="AM113" i="1"/>
  <c r="BM113" i="1"/>
  <c r="AT113" i="1"/>
  <c r="S113" i="1"/>
  <c r="Z113" i="1"/>
  <c r="AN113" i="1"/>
  <c r="BK113" i="1"/>
  <c r="BA113" i="1"/>
  <c r="Q115" i="1" l="1"/>
  <c r="M115" i="1"/>
  <c r="N115" i="1"/>
  <c r="O115" i="1"/>
  <c r="P115" i="1"/>
  <c r="N114" i="1"/>
  <c r="O114" i="1"/>
  <c r="P114" i="1"/>
  <c r="Q114" i="1"/>
  <c r="M114" i="1"/>
  <c r="BD114" i="1"/>
  <c r="BE114" i="1"/>
  <c r="BF114" i="1"/>
  <c r="BG114" i="1"/>
  <c r="AV114" i="1"/>
  <c r="AW114" i="1"/>
  <c r="AX114" i="1"/>
  <c r="AO114" i="1"/>
  <c r="AY114" i="1"/>
  <c r="AP114" i="1"/>
  <c r="AZ114" i="1"/>
  <c r="AQ114" i="1"/>
  <c r="AL114" i="1"/>
  <c r="AR114" i="1"/>
  <c r="AE114" i="1"/>
  <c r="AS114" i="1"/>
  <c r="W114" i="1"/>
  <c r="AA114" i="1"/>
  <c r="AB114" i="1"/>
  <c r="X114" i="1"/>
  <c r="AH114" i="1"/>
  <c r="AI114" i="1"/>
  <c r="AJ114" i="1"/>
  <c r="AC114" i="1"/>
  <c r="U114" i="1"/>
  <c r="AK114" i="1"/>
  <c r="AD114" i="1"/>
  <c r="BC114" i="1"/>
  <c r="V114" i="1"/>
  <c r="T114" i="1"/>
  <c r="R114" i="1"/>
  <c r="AM114" i="1"/>
  <c r="AG114" i="1"/>
  <c r="Z114" i="1"/>
  <c r="Y114" i="1"/>
  <c r="BJ114" i="1"/>
  <c r="BA114" i="1"/>
  <c r="BP114" i="1"/>
  <c r="BK114" i="1"/>
  <c r="AN114" i="1"/>
  <c r="S114" i="1"/>
  <c r="AU114" i="1"/>
  <c r="BB114" i="1"/>
  <c r="BL114" i="1"/>
  <c r="BH114" i="1"/>
  <c r="AF114" i="1"/>
  <c r="BN114" i="1"/>
  <c r="AT114" i="1"/>
  <c r="BO114" i="1"/>
  <c r="BI114" i="1"/>
  <c r="BM114" i="1"/>
  <c r="BG115" i="1" l="1"/>
  <c r="BC115" i="1"/>
  <c r="AV115" i="1"/>
  <c r="BD115" i="1"/>
  <c r="BE115" i="1"/>
  <c r="BF115" i="1"/>
  <c r="AW115" i="1"/>
  <c r="AQ115" i="1"/>
  <c r="AX115" i="1"/>
  <c r="AY115" i="1"/>
  <c r="AZ115" i="1"/>
  <c r="AR115" i="1"/>
  <c r="AS115" i="1"/>
  <c r="AH115" i="1"/>
  <c r="AI115" i="1"/>
  <c r="AJ115" i="1"/>
  <c r="AK115" i="1"/>
  <c r="U115" i="1"/>
  <c r="AL115" i="1"/>
  <c r="AA115" i="1"/>
  <c r="AO115" i="1"/>
  <c r="AB115" i="1"/>
  <c r="AP115" i="1"/>
  <c r="AC115" i="1"/>
  <c r="AD115" i="1"/>
  <c r="AE115" i="1"/>
  <c r="W115" i="1"/>
  <c r="T115" i="1"/>
  <c r="V115" i="1"/>
  <c r="X115" i="1"/>
  <c r="M116" i="1" l="1"/>
  <c r="N116" i="1"/>
  <c r="O116" i="1"/>
  <c r="P116" i="1"/>
  <c r="Q116" i="1"/>
  <c r="BC116" i="1"/>
  <c r="BD116" i="1"/>
  <c r="BE116" i="1"/>
  <c r="AY116" i="1"/>
  <c r="BF116" i="1"/>
  <c r="BG116" i="1"/>
  <c r="AO116" i="1"/>
  <c r="AP116" i="1"/>
  <c r="AQ116" i="1"/>
  <c r="AJ116" i="1"/>
  <c r="AR116" i="1"/>
  <c r="AK116" i="1"/>
  <c r="AS116" i="1"/>
  <c r="AC116" i="1"/>
  <c r="X116" i="1"/>
  <c r="AD116" i="1"/>
  <c r="AH116" i="1"/>
  <c r="AE116" i="1"/>
  <c r="AI116" i="1"/>
  <c r="AL116" i="1"/>
  <c r="V116" i="1"/>
  <c r="AV116" i="1"/>
  <c r="W116" i="1"/>
  <c r="AW116" i="1"/>
  <c r="AA116" i="1"/>
  <c r="AB116" i="1"/>
  <c r="AX116" i="1"/>
  <c r="T116" i="1"/>
  <c r="U116" i="1"/>
  <c r="AZ116" i="1"/>
  <c r="AG116" i="1"/>
  <c r="Z116" i="1"/>
  <c r="BO116" i="1"/>
  <c r="R116" i="1"/>
  <c r="Y116" i="1"/>
  <c r="AF116" i="1"/>
  <c r="BI116" i="1"/>
  <c r="BP116" i="1"/>
  <c r="BJ116" i="1"/>
  <c r="BM116" i="1"/>
  <c r="AN116" i="1"/>
  <c r="AT116" i="1"/>
  <c r="AU116" i="1"/>
  <c r="S116" i="1"/>
  <c r="BL116" i="1"/>
  <c r="BK116" i="1"/>
  <c r="BA116" i="1"/>
  <c r="BB116" i="1"/>
  <c r="AM116" i="1"/>
  <c r="BH116" i="1"/>
  <c r="BN116" i="1"/>
  <c r="O117" i="1" l="1"/>
  <c r="P117" i="1"/>
  <c r="Q117" i="1"/>
  <c r="M117" i="1"/>
  <c r="N117" i="1"/>
  <c r="BE117" i="1"/>
  <c r="BF117" i="1"/>
  <c r="BG117" i="1"/>
  <c r="AV117" i="1"/>
  <c r="AO117" i="1"/>
  <c r="AW117" i="1"/>
  <c r="BC117" i="1"/>
  <c r="AX117" i="1"/>
  <c r="BD117" i="1"/>
  <c r="AY117" i="1"/>
  <c r="AZ117" i="1"/>
  <c r="AQ117" i="1"/>
  <c r="AR117" i="1"/>
  <c r="AS117" i="1"/>
  <c r="AP117" i="1"/>
  <c r="AH117" i="1"/>
  <c r="AL117" i="1"/>
  <c r="AA117" i="1"/>
  <c r="V117" i="1"/>
  <c r="AI117" i="1"/>
  <c r="AJ117" i="1"/>
  <c r="T117" i="1"/>
  <c r="AB117" i="1"/>
  <c r="AK117" i="1"/>
  <c r="U117" i="1"/>
  <c r="AC117" i="1"/>
  <c r="AD117" i="1"/>
  <c r="W117" i="1"/>
  <c r="AE117" i="1"/>
  <c r="X117" i="1"/>
  <c r="BK117" i="1"/>
  <c r="S117" i="1"/>
  <c r="BL117" i="1"/>
  <c r="BO117" i="1"/>
  <c r="AN117" i="1"/>
  <c r="BJ117" i="1"/>
  <c r="AT117" i="1"/>
  <c r="R117" i="1"/>
  <c r="BB117" i="1"/>
  <c r="AF117" i="1"/>
  <c r="BN117" i="1"/>
  <c r="BI117" i="1"/>
  <c r="BA117" i="1"/>
  <c r="Y117" i="1"/>
  <c r="BM117" i="1"/>
  <c r="BH117" i="1"/>
  <c r="Z117" i="1"/>
  <c r="AM117" i="1"/>
  <c r="BP117" i="1"/>
  <c r="AU117" i="1"/>
  <c r="AG117" i="1"/>
  <c r="M118" i="1" l="1"/>
  <c r="N118" i="1"/>
  <c r="O118" i="1"/>
  <c r="P118" i="1"/>
  <c r="Q118" i="1"/>
  <c r="BC118" i="1"/>
  <c r="BD118" i="1"/>
  <c r="AW118" i="1"/>
  <c r="BE118" i="1"/>
  <c r="BF118" i="1"/>
  <c r="BG118" i="1"/>
  <c r="AZ118" i="1"/>
  <c r="AR118" i="1"/>
  <c r="AV118" i="1"/>
  <c r="AX118" i="1"/>
  <c r="AY118" i="1"/>
  <c r="AO118" i="1"/>
  <c r="AH118" i="1"/>
  <c r="AK118" i="1"/>
  <c r="AA118" i="1"/>
  <c r="V118" i="1"/>
  <c r="AI118" i="1"/>
  <c r="AB118" i="1"/>
  <c r="AJ118" i="1"/>
  <c r="AC118" i="1"/>
  <c r="AL118" i="1"/>
  <c r="AD118" i="1"/>
  <c r="AE118" i="1"/>
  <c r="U118" i="1"/>
  <c r="X118" i="1"/>
  <c r="AP118" i="1"/>
  <c r="W118" i="1"/>
  <c r="AQ118" i="1"/>
  <c r="AS118" i="1"/>
  <c r="T118" i="1"/>
  <c r="AU118" i="1"/>
  <c r="BK118" i="1"/>
  <c r="BM118" i="1"/>
  <c r="BJ118" i="1"/>
  <c r="BB118" i="1"/>
  <c r="Y118" i="1"/>
  <c r="R118" i="1"/>
  <c r="BA118" i="1"/>
  <c r="BP118" i="1"/>
  <c r="AM118" i="1"/>
  <c r="BO118" i="1"/>
  <c r="AN118" i="1"/>
  <c r="BI118" i="1"/>
  <c r="BL118" i="1"/>
  <c r="BH118" i="1"/>
  <c r="AG118" i="1"/>
  <c r="AT118" i="1"/>
  <c r="Z118" i="1"/>
  <c r="BN118" i="1"/>
  <c r="S118" i="1"/>
  <c r="AF118" i="1"/>
  <c r="M119" i="1" l="1"/>
  <c r="N119" i="1"/>
  <c r="O119" i="1"/>
  <c r="P119" i="1"/>
  <c r="Q119" i="1"/>
  <c r="BC119" i="1"/>
  <c r="BD119" i="1"/>
  <c r="BE119" i="1"/>
  <c r="BF119" i="1"/>
  <c r="AZ119" i="1"/>
  <c r="AV119" i="1"/>
  <c r="AW119" i="1"/>
  <c r="AX119" i="1"/>
  <c r="BG119" i="1"/>
  <c r="AP119" i="1"/>
  <c r="AQ119" i="1"/>
  <c r="AR119" i="1"/>
  <c r="AS119" i="1"/>
  <c r="AY119" i="1"/>
  <c r="AK119" i="1"/>
  <c r="AD119" i="1"/>
  <c r="AE119" i="1"/>
  <c r="AI119" i="1"/>
  <c r="AA119" i="1"/>
  <c r="AB119" i="1"/>
  <c r="AC119" i="1"/>
  <c r="T119" i="1"/>
  <c r="AH119" i="1"/>
  <c r="U119" i="1"/>
  <c r="V119" i="1"/>
  <c r="AJ119" i="1"/>
  <c r="AO119" i="1"/>
  <c r="X119" i="1"/>
  <c r="AL119" i="1"/>
  <c r="W119" i="1"/>
  <c r="AM119" i="1"/>
  <c r="Y119" i="1"/>
  <c r="AU119" i="1"/>
  <c r="BM119" i="1"/>
  <c r="BL119" i="1"/>
  <c r="AN119" i="1"/>
  <c r="BO119" i="1"/>
  <c r="BA119" i="1"/>
  <c r="BP119" i="1"/>
  <c r="BJ119" i="1"/>
  <c r="BB119" i="1"/>
  <c r="AT119" i="1"/>
  <c r="AF119" i="1"/>
  <c r="S119" i="1"/>
  <c r="BI119" i="1"/>
  <c r="BN119" i="1"/>
  <c r="AG119" i="1"/>
  <c r="R119" i="1"/>
  <c r="BK119" i="1"/>
  <c r="Z119" i="1"/>
  <c r="BH119" i="1"/>
  <c r="P120" i="1" l="1"/>
  <c r="Q120" i="1"/>
  <c r="N120" i="1"/>
  <c r="O120" i="1"/>
  <c r="M120" i="1"/>
  <c r="BF120" i="1"/>
  <c r="BG120" i="1"/>
  <c r="AY120" i="1"/>
  <c r="AP120" i="1"/>
  <c r="AZ120" i="1"/>
  <c r="BC120" i="1"/>
  <c r="BD120" i="1"/>
  <c r="BE120" i="1"/>
  <c r="AO120" i="1"/>
  <c r="AV120" i="1"/>
  <c r="AQ120" i="1"/>
  <c r="AW120" i="1"/>
  <c r="AR120" i="1"/>
  <c r="AX120" i="1"/>
  <c r="AS120" i="1"/>
  <c r="AH120" i="1"/>
  <c r="T120" i="1"/>
  <c r="AI120" i="1"/>
  <c r="AJ120" i="1"/>
  <c r="AA120" i="1"/>
  <c r="AK120" i="1"/>
  <c r="AB120" i="1"/>
  <c r="AL120" i="1"/>
  <c r="U120" i="1"/>
  <c r="V120" i="1"/>
  <c r="AC120" i="1"/>
  <c r="AD120" i="1"/>
  <c r="W120" i="1"/>
  <c r="X120" i="1"/>
  <c r="AE120" i="1"/>
  <c r="BH120" i="1"/>
  <c r="BB120" i="1"/>
  <c r="AF120" i="1"/>
  <c r="Z120" i="1"/>
  <c r="BN120" i="1"/>
  <c r="AN120" i="1"/>
  <c r="AM120" i="1"/>
  <c r="BM120" i="1"/>
  <c r="BI120" i="1"/>
  <c r="AG120" i="1"/>
  <c r="BO120" i="1"/>
  <c r="AU120" i="1"/>
  <c r="BJ120" i="1"/>
  <c r="BL120" i="1"/>
  <c r="R120" i="1"/>
  <c r="AT120" i="1"/>
  <c r="S120" i="1"/>
  <c r="BK120" i="1"/>
  <c r="BP120" i="1"/>
  <c r="BA120" i="1"/>
  <c r="Y120" i="1"/>
  <c r="M121" i="1" l="1"/>
  <c r="N121" i="1"/>
  <c r="O121" i="1"/>
  <c r="P121" i="1"/>
  <c r="Q121" i="1"/>
  <c r="BC121" i="1"/>
  <c r="BD121" i="1"/>
  <c r="BE121" i="1"/>
  <c r="AX121" i="1"/>
  <c r="BF121" i="1"/>
  <c r="BG121" i="1"/>
  <c r="AS121" i="1"/>
  <c r="AV121" i="1"/>
  <c r="AW121" i="1"/>
  <c r="AY121" i="1"/>
  <c r="AO121" i="1"/>
  <c r="AZ121" i="1"/>
  <c r="AP121" i="1"/>
  <c r="AQ121" i="1"/>
  <c r="AR121" i="1"/>
  <c r="AI121" i="1"/>
  <c r="AL121" i="1"/>
  <c r="AB121" i="1"/>
  <c r="W121" i="1"/>
  <c r="AC121" i="1"/>
  <c r="AD121" i="1"/>
  <c r="AE121" i="1"/>
  <c r="AH121" i="1"/>
  <c r="AJ121" i="1"/>
  <c r="T121" i="1"/>
  <c r="AK121" i="1"/>
  <c r="X121" i="1"/>
  <c r="U121" i="1"/>
  <c r="V121" i="1"/>
  <c r="AA121" i="1"/>
  <c r="BP121" i="1"/>
  <c r="BA121" i="1"/>
  <c r="BO121" i="1"/>
  <c r="BI121" i="1"/>
  <c r="BN121" i="1"/>
  <c r="R121" i="1"/>
  <c r="BH121" i="1"/>
  <c r="AM121" i="1"/>
  <c r="BM121" i="1"/>
  <c r="AF121" i="1"/>
  <c r="BK121" i="1"/>
  <c r="BB121" i="1"/>
  <c r="Z121" i="1"/>
  <c r="AN121" i="1"/>
  <c r="Y121" i="1"/>
  <c r="AG121" i="1"/>
  <c r="BJ121" i="1"/>
  <c r="BL121" i="1"/>
  <c r="AT121" i="1"/>
  <c r="AU121" i="1"/>
  <c r="S121" i="1"/>
  <c r="N122" i="1" l="1"/>
  <c r="O122" i="1"/>
  <c r="P122" i="1"/>
  <c r="Q122" i="1"/>
  <c r="M122" i="1"/>
  <c r="BD122" i="1"/>
  <c r="BE122" i="1"/>
  <c r="BF122" i="1"/>
  <c r="BG122" i="1"/>
  <c r="BC122" i="1"/>
  <c r="AX122" i="1"/>
  <c r="AY122" i="1"/>
  <c r="AZ122" i="1"/>
  <c r="AS122" i="1"/>
  <c r="AV122" i="1"/>
  <c r="AW122" i="1"/>
  <c r="AL122" i="1"/>
  <c r="AO122" i="1"/>
  <c r="AE122" i="1"/>
  <c r="AP122" i="1"/>
  <c r="AH122" i="1"/>
  <c r="AQ122" i="1"/>
  <c r="AI122" i="1"/>
  <c r="AR122" i="1"/>
  <c r="AJ122" i="1"/>
  <c r="AA122" i="1"/>
  <c r="T122" i="1"/>
  <c r="AK122" i="1"/>
  <c r="AB122" i="1"/>
  <c r="U122" i="1"/>
  <c r="V122" i="1"/>
  <c r="X122" i="1"/>
  <c r="AC122" i="1"/>
  <c r="AD122" i="1"/>
  <c r="W122" i="1"/>
  <c r="S122" i="1"/>
  <c r="BH122" i="1"/>
  <c r="BL122" i="1"/>
  <c r="BI122" i="1"/>
  <c r="BO122" i="1"/>
  <c r="BP122" i="1"/>
  <c r="AF122" i="1"/>
  <c r="BN122" i="1"/>
  <c r="BM122" i="1"/>
  <c r="AT122" i="1"/>
  <c r="AG122" i="1"/>
  <c r="BJ122" i="1"/>
  <c r="AM122" i="1"/>
  <c r="Y122" i="1"/>
  <c r="BA122" i="1"/>
  <c r="R122" i="1"/>
  <c r="AN122" i="1"/>
  <c r="Z122" i="1"/>
  <c r="BB122" i="1"/>
  <c r="AU122" i="1"/>
  <c r="BK122" i="1"/>
  <c r="Q123" i="1" l="1"/>
  <c r="N123" i="1"/>
  <c r="P123" i="1"/>
  <c r="M123" i="1"/>
  <c r="O123" i="1"/>
  <c r="BG123" i="1"/>
  <c r="AV123" i="1"/>
  <c r="BC123" i="1"/>
  <c r="AQ123" i="1"/>
  <c r="BD123" i="1"/>
  <c r="BE123" i="1"/>
  <c r="BF123" i="1"/>
  <c r="AW123" i="1"/>
  <c r="AO123" i="1"/>
  <c r="AP123" i="1"/>
  <c r="AR123" i="1"/>
  <c r="AS123" i="1"/>
  <c r="AX123" i="1"/>
  <c r="AK123" i="1"/>
  <c r="U123" i="1"/>
  <c r="AY123" i="1"/>
  <c r="AL123" i="1"/>
  <c r="AA123" i="1"/>
  <c r="AZ123" i="1"/>
  <c r="AB123" i="1"/>
  <c r="AC123" i="1"/>
  <c r="X123" i="1"/>
  <c r="AE123" i="1"/>
  <c r="AH123" i="1"/>
  <c r="AD123" i="1"/>
  <c r="W123" i="1"/>
  <c r="T123" i="1"/>
  <c r="AJ123" i="1"/>
  <c r="AI123" i="1"/>
  <c r="V123" i="1"/>
  <c r="BL123" i="1"/>
  <c r="Z123" i="1"/>
  <c r="BM123" i="1"/>
  <c r="BO123" i="1"/>
  <c r="Y123" i="1"/>
  <c r="AT123" i="1"/>
  <c r="BA123" i="1"/>
  <c r="BP123" i="1"/>
  <c r="R123" i="1"/>
  <c r="AN123" i="1"/>
  <c r="AF123" i="1"/>
  <c r="BN123" i="1"/>
  <c r="BI123" i="1"/>
  <c r="AM123" i="1"/>
  <c r="BB123" i="1"/>
  <c r="BH123" i="1"/>
  <c r="BK123" i="1"/>
  <c r="S123" i="1"/>
  <c r="AG123" i="1"/>
  <c r="BJ123" i="1"/>
  <c r="AU123" i="1"/>
  <c r="M124" i="1" l="1"/>
  <c r="N124" i="1"/>
  <c r="O124" i="1"/>
  <c r="P124" i="1"/>
  <c r="Q124" i="1"/>
  <c r="BC124" i="1"/>
  <c r="BD124" i="1"/>
  <c r="BE124" i="1"/>
  <c r="BF124" i="1"/>
  <c r="AY124" i="1"/>
  <c r="BG124" i="1"/>
  <c r="AW124" i="1"/>
  <c r="AX124" i="1"/>
  <c r="AZ124" i="1"/>
  <c r="AR124" i="1"/>
  <c r="AS124" i="1"/>
  <c r="AJ124" i="1"/>
  <c r="AO124" i="1"/>
  <c r="AP124" i="1"/>
  <c r="AQ124" i="1"/>
  <c r="AC124" i="1"/>
  <c r="X124" i="1"/>
  <c r="AD124" i="1"/>
  <c r="AH124" i="1"/>
  <c r="AE124" i="1"/>
  <c r="AV124" i="1"/>
  <c r="AI124" i="1"/>
  <c r="AK124" i="1"/>
  <c r="W124" i="1"/>
  <c r="AL124" i="1"/>
  <c r="T124" i="1"/>
  <c r="U124" i="1"/>
  <c r="V124" i="1"/>
  <c r="AA124" i="1"/>
  <c r="AB124" i="1"/>
  <c r="O125" i="1" l="1"/>
  <c r="P125" i="1"/>
  <c r="Q125" i="1"/>
  <c r="M125" i="1"/>
  <c r="N125" i="1"/>
  <c r="BE125" i="1"/>
  <c r="BF125" i="1"/>
  <c r="BG125" i="1"/>
  <c r="BC125" i="1"/>
  <c r="BD125" i="1"/>
  <c r="AO125" i="1"/>
  <c r="AV125" i="1"/>
  <c r="AW125" i="1"/>
  <c r="AX125" i="1"/>
  <c r="AY125" i="1"/>
  <c r="AP125" i="1"/>
  <c r="AZ125" i="1"/>
  <c r="AQ125" i="1"/>
  <c r="AJ125" i="1"/>
  <c r="AK125" i="1"/>
  <c r="AL125" i="1"/>
  <c r="AA125" i="1"/>
  <c r="AR125" i="1"/>
  <c r="AB125" i="1"/>
  <c r="W125" i="1"/>
  <c r="X125" i="1"/>
  <c r="AS125" i="1"/>
  <c r="AC125" i="1"/>
  <c r="AH125" i="1"/>
  <c r="AD125" i="1"/>
  <c r="AI125" i="1"/>
  <c r="AE125" i="1"/>
  <c r="V125" i="1"/>
  <c r="T125" i="1"/>
  <c r="U125" i="1"/>
  <c r="M126" i="1" l="1"/>
  <c r="O126" i="1"/>
  <c r="N126" i="1"/>
  <c r="P126" i="1"/>
  <c r="Q126" i="1"/>
  <c r="BC126" i="1"/>
  <c r="AW126" i="1"/>
  <c r="AV126" i="1"/>
  <c r="AR126" i="1"/>
  <c r="AX126" i="1"/>
  <c r="AY126" i="1"/>
  <c r="AZ126" i="1"/>
  <c r="AQ126" i="1"/>
  <c r="AS126" i="1"/>
  <c r="BD126" i="1"/>
  <c r="AH126" i="1"/>
  <c r="BE126" i="1"/>
  <c r="BF126" i="1"/>
  <c r="BG126" i="1"/>
  <c r="AA126" i="1"/>
  <c r="V126" i="1"/>
  <c r="AB126" i="1"/>
  <c r="AC126" i="1"/>
  <c r="AI126" i="1"/>
  <c r="AD126" i="1"/>
  <c r="T126" i="1"/>
  <c r="AE126" i="1"/>
  <c r="AJ126" i="1"/>
  <c r="AK126" i="1"/>
  <c r="AO126" i="1"/>
  <c r="AP126" i="1"/>
  <c r="U126" i="1"/>
  <c r="W126" i="1"/>
  <c r="AL126" i="1"/>
  <c r="X126" i="1"/>
  <c r="M127" i="1" l="1"/>
  <c r="N127" i="1"/>
  <c r="O127" i="1"/>
  <c r="P127" i="1"/>
  <c r="Q127" i="1"/>
  <c r="BC127" i="1"/>
  <c r="BD127" i="1"/>
  <c r="BE127" i="1"/>
  <c r="BF127" i="1"/>
  <c r="BG127" i="1"/>
  <c r="AZ127" i="1"/>
  <c r="AO127" i="1"/>
  <c r="AP127" i="1"/>
  <c r="AV127" i="1"/>
  <c r="AQ127" i="1"/>
  <c r="AK127" i="1"/>
  <c r="AW127" i="1"/>
  <c r="AR127" i="1"/>
  <c r="AX127" i="1"/>
  <c r="AS127" i="1"/>
  <c r="AY127" i="1"/>
  <c r="AI127" i="1"/>
  <c r="AD127" i="1"/>
  <c r="AJ127" i="1"/>
  <c r="AE127" i="1"/>
  <c r="AL127" i="1"/>
  <c r="V127" i="1"/>
  <c r="W127" i="1"/>
  <c r="X127" i="1"/>
  <c r="AA127" i="1"/>
  <c r="AB127" i="1"/>
  <c r="AC127" i="1"/>
  <c r="U127" i="1"/>
  <c r="T127" i="1"/>
  <c r="AH127" i="1"/>
  <c r="BH127" i="1"/>
  <c r="BA127" i="1"/>
  <c r="Y127" i="1"/>
  <c r="R127" i="1"/>
  <c r="BM127" i="1"/>
  <c r="AM127" i="1"/>
  <c r="S127" i="1"/>
  <c r="BJ127" i="1"/>
  <c r="AF127" i="1"/>
  <c r="AN127" i="1"/>
  <c r="AU127" i="1"/>
  <c r="BN127" i="1"/>
  <c r="BB127" i="1"/>
  <c r="BK127" i="1"/>
  <c r="BI127" i="1"/>
  <c r="Z127" i="1"/>
  <c r="AG127" i="1"/>
  <c r="BL127" i="1"/>
  <c r="BP127" i="1"/>
  <c r="BO127" i="1"/>
  <c r="AT127" i="1"/>
  <c r="P128" i="1" l="1"/>
  <c r="Q128" i="1"/>
  <c r="M128" i="1"/>
  <c r="N128" i="1"/>
  <c r="O128" i="1"/>
  <c r="BF128" i="1"/>
  <c r="BG128" i="1"/>
  <c r="BC128" i="1"/>
  <c r="BD128" i="1"/>
  <c r="BE128" i="1"/>
  <c r="AV128" i="1"/>
  <c r="AP128" i="1"/>
  <c r="AW128" i="1"/>
  <c r="AX128" i="1"/>
  <c r="AY128" i="1"/>
  <c r="AZ128" i="1"/>
  <c r="AQ128" i="1"/>
  <c r="AR128" i="1"/>
  <c r="AS128" i="1"/>
  <c r="AO128" i="1"/>
  <c r="AA128" i="1"/>
  <c r="AH128" i="1"/>
  <c r="AB128" i="1"/>
  <c r="AI128" i="1"/>
  <c r="AC128" i="1"/>
  <c r="AJ128" i="1"/>
  <c r="AD128" i="1"/>
  <c r="AK128" i="1"/>
  <c r="AE128" i="1"/>
  <c r="U128" i="1"/>
  <c r="AL128" i="1"/>
  <c r="T128" i="1"/>
  <c r="W128" i="1"/>
  <c r="V128" i="1"/>
  <c r="X128" i="1"/>
  <c r="R128" i="1"/>
  <c r="BP128" i="1"/>
  <c r="S128" i="1"/>
  <c r="AF128" i="1"/>
  <c r="BJ128" i="1"/>
  <c r="BI128" i="1"/>
  <c r="Z128" i="1"/>
  <c r="AM128" i="1"/>
  <c r="BA128" i="1"/>
  <c r="BO128" i="1"/>
  <c r="BK128" i="1"/>
  <c r="AT128" i="1"/>
  <c r="BH128" i="1"/>
  <c r="AU128" i="1"/>
  <c r="AG128" i="1"/>
  <c r="AN128" i="1"/>
  <c r="BL128" i="1"/>
  <c r="BB128" i="1"/>
  <c r="Y128" i="1"/>
  <c r="BM128" i="1"/>
  <c r="BN128" i="1"/>
  <c r="M129" i="1" l="1"/>
  <c r="N129" i="1"/>
  <c r="Q129" i="1"/>
  <c r="O129" i="1"/>
  <c r="P129" i="1"/>
  <c r="BC129" i="1"/>
  <c r="BD129" i="1"/>
  <c r="AX129" i="1"/>
  <c r="BE129" i="1"/>
  <c r="AZ129" i="1"/>
  <c r="AS129" i="1"/>
  <c r="BF129" i="1"/>
  <c r="BG129" i="1"/>
  <c r="AV129" i="1"/>
  <c r="AW129" i="1"/>
  <c r="AY129" i="1"/>
  <c r="AO129" i="1"/>
  <c r="AI129" i="1"/>
  <c r="AP129" i="1"/>
  <c r="AH129" i="1"/>
  <c r="AB129" i="1"/>
  <c r="AQ129" i="1"/>
  <c r="AJ129" i="1"/>
  <c r="AC129" i="1"/>
  <c r="AR129" i="1"/>
  <c r="AK129" i="1"/>
  <c r="AD129" i="1"/>
  <c r="AL129" i="1"/>
  <c r="AE129" i="1"/>
  <c r="T129" i="1"/>
  <c r="V129" i="1"/>
  <c r="U129" i="1"/>
  <c r="X129" i="1"/>
  <c r="AA129" i="1"/>
  <c r="W129" i="1"/>
  <c r="BL129" i="1"/>
  <c r="AF129" i="1"/>
  <c r="AN129" i="1"/>
  <c r="BM129" i="1"/>
  <c r="Y129" i="1"/>
  <c r="BI129" i="1"/>
  <c r="AG129" i="1"/>
  <c r="S129" i="1"/>
  <c r="BB129" i="1"/>
  <c r="BH129" i="1"/>
  <c r="BJ129" i="1"/>
  <c r="AM129" i="1"/>
  <c r="BO129" i="1"/>
  <c r="Z129" i="1"/>
  <c r="BP129" i="1"/>
  <c r="BA129" i="1"/>
  <c r="BK129" i="1"/>
  <c r="BN129" i="1"/>
  <c r="R129" i="1"/>
  <c r="AT129" i="1"/>
  <c r="AU129" i="1"/>
  <c r="N130" i="1" l="1"/>
  <c r="O130" i="1"/>
  <c r="P130" i="1"/>
  <c r="Q130" i="1"/>
  <c r="M130" i="1"/>
  <c r="BD130" i="1"/>
  <c r="BE130" i="1"/>
  <c r="BF130" i="1"/>
  <c r="BG130" i="1"/>
  <c r="AV130" i="1"/>
  <c r="AW130" i="1"/>
  <c r="BC130" i="1"/>
  <c r="AX130" i="1"/>
  <c r="AP130" i="1"/>
  <c r="AQ130" i="1"/>
  <c r="AR130" i="1"/>
  <c r="AS130" i="1"/>
  <c r="AL130" i="1"/>
  <c r="AE130" i="1"/>
  <c r="AO130" i="1"/>
  <c r="AY130" i="1"/>
  <c r="W130" i="1"/>
  <c r="AZ130" i="1"/>
  <c r="X130" i="1"/>
  <c r="AA130" i="1"/>
  <c r="AH130" i="1"/>
  <c r="AI130" i="1"/>
  <c r="AB130" i="1"/>
  <c r="AJ130" i="1"/>
  <c r="AK130" i="1"/>
  <c r="AC130" i="1"/>
  <c r="AD130" i="1"/>
  <c r="V130" i="1"/>
  <c r="T130" i="1"/>
  <c r="U130" i="1"/>
  <c r="S130" i="1"/>
  <c r="BO130" i="1"/>
  <c r="R130" i="1"/>
  <c r="AU130" i="1"/>
  <c r="AG130" i="1"/>
  <c r="BK130" i="1"/>
  <c r="BN130" i="1"/>
  <c r="AM130" i="1"/>
  <c r="BL130" i="1"/>
  <c r="AT130" i="1"/>
  <c r="BP130" i="1"/>
  <c r="BI130" i="1"/>
  <c r="AF130" i="1"/>
  <c r="BM130" i="1"/>
  <c r="AN130" i="1"/>
  <c r="BH130" i="1"/>
  <c r="BA130" i="1"/>
  <c r="Y130" i="1"/>
  <c r="BB130" i="1"/>
  <c r="Z130" i="1"/>
  <c r="BJ130" i="1"/>
  <c r="Q131" i="1" l="1"/>
  <c r="M131" i="1"/>
  <c r="N131" i="1"/>
  <c r="O131" i="1"/>
  <c r="P131" i="1"/>
  <c r="BG131" i="1"/>
  <c r="BC131" i="1"/>
  <c r="AV131" i="1"/>
  <c r="BD131" i="1"/>
  <c r="BE131" i="1"/>
  <c r="BF131" i="1"/>
  <c r="AY131" i="1"/>
  <c r="AQ131" i="1"/>
  <c r="AZ131" i="1"/>
  <c r="AO131" i="1"/>
  <c r="AP131" i="1"/>
  <c r="AR131" i="1"/>
  <c r="AS131" i="1"/>
  <c r="AH131" i="1"/>
  <c r="AI131" i="1"/>
  <c r="AA131" i="1"/>
  <c r="AJ131" i="1"/>
  <c r="AB131" i="1"/>
  <c r="AK131" i="1"/>
  <c r="AC131" i="1"/>
  <c r="AL131" i="1"/>
  <c r="AD131" i="1"/>
  <c r="V131" i="1"/>
  <c r="AE131" i="1"/>
  <c r="AW131" i="1"/>
  <c r="T131" i="1"/>
  <c r="AX131" i="1"/>
  <c r="U131" i="1"/>
  <c r="W131" i="1"/>
  <c r="X131" i="1"/>
  <c r="BJ131" i="1"/>
  <c r="BI131" i="1"/>
  <c r="Z131" i="1"/>
  <c r="AT131" i="1"/>
  <c r="BL131" i="1"/>
  <c r="AG131" i="1"/>
  <c r="R131" i="1"/>
  <c r="AF131" i="1"/>
  <c r="AM131" i="1"/>
  <c r="BB131" i="1"/>
  <c r="S131" i="1"/>
  <c r="AN131" i="1"/>
  <c r="BP131" i="1"/>
  <c r="BO131" i="1"/>
  <c r="BN131" i="1"/>
  <c r="BA131" i="1"/>
  <c r="BH131" i="1"/>
  <c r="BM131" i="1"/>
  <c r="Y131" i="1"/>
  <c r="BK131" i="1"/>
  <c r="AU131" i="1"/>
  <c r="N132" i="1" l="1"/>
  <c r="M132" i="1"/>
  <c r="O132" i="1"/>
  <c r="P132" i="1"/>
  <c r="Q132" i="1"/>
  <c r="BC132" i="1"/>
  <c r="BD132" i="1"/>
  <c r="BE132" i="1"/>
  <c r="AY132" i="1"/>
  <c r="AV132" i="1"/>
  <c r="AW132" i="1"/>
  <c r="BF132" i="1"/>
  <c r="AX132" i="1"/>
  <c r="AO132" i="1"/>
  <c r="BG132" i="1"/>
  <c r="AZ132" i="1"/>
  <c r="AP132" i="1"/>
  <c r="AQ132" i="1"/>
  <c r="AR132" i="1"/>
  <c r="AJ132" i="1"/>
  <c r="AL132" i="1"/>
  <c r="AC132" i="1"/>
  <c r="AD132" i="1"/>
  <c r="AE132" i="1"/>
  <c r="U132" i="1"/>
  <c r="V132" i="1"/>
  <c r="W132" i="1"/>
  <c r="AS132" i="1"/>
  <c r="AH132" i="1"/>
  <c r="AI132" i="1"/>
  <c r="AA132" i="1"/>
  <c r="AK132" i="1"/>
  <c r="AB132" i="1"/>
  <c r="X132" i="1"/>
  <c r="T132" i="1"/>
  <c r="S132" i="1"/>
  <c r="BH132" i="1"/>
  <c r="BK132" i="1"/>
  <c r="BL132" i="1"/>
  <c r="Y132" i="1"/>
  <c r="AT132" i="1"/>
  <c r="BM132" i="1"/>
  <c r="BA132" i="1"/>
  <c r="Z132" i="1"/>
  <c r="AU132" i="1"/>
  <c r="R132" i="1"/>
  <c r="BN132" i="1"/>
  <c r="AG132" i="1"/>
  <c r="BB132" i="1"/>
  <c r="BO132" i="1"/>
  <c r="AM132" i="1"/>
  <c r="AN132" i="1"/>
  <c r="BJ132" i="1"/>
  <c r="AF132" i="1"/>
  <c r="BP132" i="1"/>
  <c r="BI132" i="1"/>
  <c r="O133" i="1" l="1"/>
  <c r="P133" i="1"/>
  <c r="Q133" i="1"/>
  <c r="N133" i="1"/>
  <c r="M133" i="1"/>
  <c r="BE133" i="1"/>
  <c r="BF133" i="1"/>
  <c r="BG133" i="1"/>
  <c r="AX133" i="1"/>
  <c r="AO133" i="1"/>
  <c r="AY133" i="1"/>
  <c r="AZ133" i="1"/>
  <c r="AS133" i="1"/>
  <c r="BC133" i="1"/>
  <c r="AV133" i="1"/>
  <c r="BD133" i="1"/>
  <c r="AW133" i="1"/>
  <c r="AH133" i="1"/>
  <c r="AI133" i="1"/>
  <c r="AJ133" i="1"/>
  <c r="AA133" i="1"/>
  <c r="X133" i="1"/>
  <c r="AK133" i="1"/>
  <c r="AL133" i="1"/>
  <c r="AP133" i="1"/>
  <c r="AC133" i="1"/>
  <c r="AB133" i="1"/>
  <c r="T133" i="1"/>
  <c r="U133" i="1"/>
  <c r="V133" i="1"/>
  <c r="AQ133" i="1"/>
  <c r="AD133" i="1"/>
  <c r="AR133" i="1"/>
  <c r="AE133" i="1"/>
  <c r="W133" i="1"/>
  <c r="BN133" i="1"/>
  <c r="AG133" i="1"/>
  <c r="AM133" i="1"/>
  <c r="AF133" i="1"/>
  <c r="AN133" i="1"/>
  <c r="BM133" i="1"/>
  <c r="BK133" i="1"/>
  <c r="BB133" i="1"/>
  <c r="BI133" i="1"/>
  <c r="BJ133" i="1"/>
  <c r="R133" i="1"/>
  <c r="BA133" i="1"/>
  <c r="S133" i="1"/>
  <c r="Z133" i="1"/>
  <c r="Y133" i="1"/>
  <c r="AU133" i="1"/>
  <c r="BO133" i="1"/>
  <c r="BL133" i="1"/>
  <c r="BH133" i="1"/>
  <c r="AT133" i="1"/>
  <c r="BP133" i="1"/>
  <c r="M134" i="1" l="1"/>
  <c r="N134" i="1"/>
  <c r="O134" i="1"/>
  <c r="P134" i="1"/>
  <c r="Q134" i="1"/>
  <c r="BC134" i="1"/>
  <c r="BD134" i="1"/>
  <c r="AW134" i="1"/>
  <c r="BE134" i="1"/>
  <c r="BF134" i="1"/>
  <c r="BG134" i="1"/>
  <c r="AR134" i="1"/>
  <c r="AV134" i="1"/>
  <c r="AO134" i="1"/>
  <c r="AP134" i="1"/>
  <c r="AQ134" i="1"/>
  <c r="AX134" i="1"/>
  <c r="AS134" i="1"/>
  <c r="AH134" i="1"/>
  <c r="AY134" i="1"/>
  <c r="AZ134" i="1"/>
  <c r="AK134" i="1"/>
  <c r="AA134" i="1"/>
  <c r="AL134" i="1"/>
  <c r="AB134" i="1"/>
  <c r="AC134" i="1"/>
  <c r="AD134" i="1"/>
  <c r="AE134" i="1"/>
  <c r="T134" i="1"/>
  <c r="U134" i="1"/>
  <c r="W134" i="1"/>
  <c r="V134" i="1"/>
  <c r="AI134" i="1"/>
  <c r="AJ134" i="1"/>
  <c r="X134" i="1"/>
  <c r="AU134" i="1"/>
  <c r="AG134" i="1"/>
  <c r="BO134" i="1"/>
  <c r="AF134" i="1"/>
  <c r="Z134" i="1"/>
  <c r="BB134" i="1"/>
  <c r="AT134" i="1"/>
  <c r="BN134" i="1"/>
  <c r="BH134" i="1"/>
  <c r="BM134" i="1"/>
  <c r="Y134" i="1"/>
  <c r="R134" i="1"/>
  <c r="BJ134" i="1"/>
  <c r="BA134" i="1"/>
  <c r="AM134" i="1"/>
  <c r="BK134" i="1"/>
  <c r="AN134" i="1"/>
  <c r="S134" i="1"/>
  <c r="BI134" i="1"/>
  <c r="BL134" i="1"/>
  <c r="BP134" i="1"/>
  <c r="M135" i="1" l="1"/>
  <c r="N135" i="1"/>
  <c r="O135" i="1"/>
  <c r="P135" i="1"/>
  <c r="Q135" i="1"/>
  <c r="BC135" i="1"/>
  <c r="BD135" i="1"/>
  <c r="BE135" i="1"/>
  <c r="BF135" i="1"/>
  <c r="AZ135" i="1"/>
  <c r="BG135" i="1"/>
  <c r="AW135" i="1"/>
  <c r="AX135" i="1"/>
  <c r="AY135" i="1"/>
  <c r="AR135" i="1"/>
  <c r="AS135" i="1"/>
  <c r="AK135" i="1"/>
  <c r="AO135" i="1"/>
  <c r="AP135" i="1"/>
  <c r="AV135" i="1"/>
  <c r="AQ135" i="1"/>
  <c r="AD135" i="1"/>
  <c r="AE135" i="1"/>
  <c r="AH135" i="1"/>
  <c r="AI135" i="1"/>
  <c r="AJ135" i="1"/>
  <c r="V135" i="1"/>
  <c r="W135" i="1"/>
  <c r="AL135" i="1"/>
  <c r="AA135" i="1"/>
  <c r="AB135" i="1"/>
  <c r="X135" i="1"/>
  <c r="AC135" i="1"/>
  <c r="U135" i="1"/>
  <c r="T135" i="1"/>
  <c r="AF135" i="1"/>
  <c r="BJ135" i="1"/>
  <c r="BH135" i="1"/>
  <c r="AU135" i="1"/>
  <c r="R135" i="1"/>
  <c r="BK135" i="1"/>
  <c r="BA135" i="1"/>
  <c r="BN135" i="1"/>
  <c r="BM135" i="1"/>
  <c r="AT135" i="1"/>
  <c r="BP135" i="1"/>
  <c r="Y135" i="1"/>
  <c r="S135" i="1"/>
  <c r="AN135" i="1"/>
  <c r="BB135" i="1"/>
  <c r="AM135" i="1"/>
  <c r="AG135" i="1"/>
  <c r="BO135" i="1"/>
  <c r="Z135" i="1"/>
  <c r="BL135" i="1"/>
  <c r="BI135" i="1"/>
  <c r="P136" i="1" l="1"/>
  <c r="Q136" i="1"/>
  <c r="M136" i="1"/>
  <c r="O136" i="1"/>
  <c r="N136" i="1"/>
  <c r="BF136" i="1"/>
  <c r="BG136" i="1"/>
  <c r="AP136" i="1"/>
  <c r="BC136" i="1"/>
  <c r="BD136" i="1"/>
  <c r="BE136" i="1"/>
  <c r="AV136" i="1"/>
  <c r="AW136" i="1"/>
  <c r="AX136" i="1"/>
  <c r="AY136" i="1"/>
  <c r="AO136" i="1"/>
  <c r="AZ136" i="1"/>
  <c r="AQ136" i="1"/>
  <c r="AR136" i="1"/>
  <c r="AJ136" i="1"/>
  <c r="AS136" i="1"/>
  <c r="AK136" i="1"/>
  <c r="AL136" i="1"/>
  <c r="AA136" i="1"/>
  <c r="AB136" i="1"/>
  <c r="U136" i="1"/>
  <c r="AC136" i="1"/>
  <c r="AD136" i="1"/>
  <c r="AH136" i="1"/>
  <c r="AI136" i="1"/>
  <c r="T136" i="1"/>
  <c r="X136" i="1"/>
  <c r="AE136" i="1"/>
  <c r="V136" i="1"/>
  <c r="W136" i="1"/>
  <c r="M137" i="1" l="1"/>
  <c r="N137" i="1"/>
  <c r="O137" i="1"/>
  <c r="P137" i="1"/>
  <c r="Q137" i="1"/>
  <c r="BC137" i="1"/>
  <c r="BD137" i="1"/>
  <c r="BE137" i="1"/>
  <c r="AX137" i="1"/>
  <c r="BF137" i="1"/>
  <c r="BG137" i="1"/>
  <c r="AV137" i="1"/>
  <c r="AS137" i="1"/>
  <c r="AW137" i="1"/>
  <c r="AY137" i="1"/>
  <c r="AZ137" i="1"/>
  <c r="AQ137" i="1"/>
  <c r="AR137" i="1"/>
  <c r="AI137" i="1"/>
  <c r="AB137" i="1"/>
  <c r="AC137" i="1"/>
  <c r="AO137" i="1"/>
  <c r="AD137" i="1"/>
  <c r="AP137" i="1"/>
  <c r="AH137" i="1"/>
  <c r="AE137" i="1"/>
  <c r="T137" i="1"/>
  <c r="U137" i="1"/>
  <c r="V137" i="1"/>
  <c r="AJ137" i="1"/>
  <c r="X137" i="1"/>
  <c r="AK137" i="1"/>
  <c r="W137" i="1"/>
  <c r="AL137" i="1"/>
  <c r="AA137" i="1"/>
  <c r="N138" i="1" l="1"/>
  <c r="P138" i="1"/>
  <c r="O138" i="1"/>
  <c r="Q138" i="1"/>
  <c r="M138" i="1"/>
  <c r="BD138" i="1"/>
  <c r="BE138" i="1"/>
  <c r="BF138" i="1"/>
  <c r="BG138" i="1"/>
  <c r="BC138" i="1"/>
  <c r="AZ138" i="1"/>
  <c r="AO138" i="1"/>
  <c r="AP138" i="1"/>
  <c r="AQ138" i="1"/>
  <c r="AL138" i="1"/>
  <c r="AR138" i="1"/>
  <c r="AS138" i="1"/>
  <c r="AV138" i="1"/>
  <c r="AI138" i="1"/>
  <c r="AE138" i="1"/>
  <c r="AW138" i="1"/>
  <c r="AJ138" i="1"/>
  <c r="AX138" i="1"/>
  <c r="AK138" i="1"/>
  <c r="AY138" i="1"/>
  <c r="AA138" i="1"/>
  <c r="W138" i="1"/>
  <c r="AB138" i="1"/>
  <c r="X138" i="1"/>
  <c r="AC138" i="1"/>
  <c r="AD138" i="1"/>
  <c r="T138" i="1"/>
  <c r="U138" i="1"/>
  <c r="AH138" i="1"/>
  <c r="V138" i="1"/>
  <c r="AT138" i="1"/>
  <c r="BJ138" i="1"/>
  <c r="BM138" i="1"/>
  <c r="BN138" i="1"/>
  <c r="S138" i="1"/>
  <c r="AM138" i="1"/>
  <c r="AN138" i="1"/>
  <c r="BL138" i="1"/>
  <c r="AU138" i="1"/>
  <c r="BI138" i="1"/>
  <c r="BB138" i="1"/>
  <c r="AF138" i="1"/>
  <c r="BP138" i="1"/>
  <c r="BA138" i="1"/>
  <c r="Z138" i="1"/>
  <c r="BO138" i="1"/>
  <c r="Y138" i="1"/>
  <c r="AG138" i="1"/>
  <c r="BK138" i="1"/>
  <c r="BH138" i="1"/>
  <c r="R138" i="1"/>
  <c r="Q139" i="1" l="1"/>
  <c r="N139" i="1"/>
  <c r="M139" i="1"/>
  <c r="O139" i="1"/>
  <c r="P139" i="1"/>
  <c r="BG139" i="1"/>
  <c r="AV139" i="1"/>
  <c r="AQ139" i="1"/>
  <c r="AW139" i="1"/>
  <c r="AX139" i="1"/>
  <c r="AY139" i="1"/>
  <c r="AZ139" i="1"/>
  <c r="AP139" i="1"/>
  <c r="AR139" i="1"/>
  <c r="AS139" i="1"/>
  <c r="AO139" i="1"/>
  <c r="BC139" i="1"/>
  <c r="BD139" i="1"/>
  <c r="AA139" i="1"/>
  <c r="BE139" i="1"/>
  <c r="AB139" i="1"/>
  <c r="BF139" i="1"/>
  <c r="AH139" i="1"/>
  <c r="AC139" i="1"/>
  <c r="AI139" i="1"/>
  <c r="T139" i="1"/>
  <c r="AD139" i="1"/>
  <c r="V139" i="1"/>
  <c r="AE139" i="1"/>
  <c r="AJ139" i="1"/>
  <c r="AK139" i="1"/>
  <c r="AL139" i="1"/>
  <c r="U139" i="1"/>
  <c r="W139" i="1"/>
  <c r="X139" i="1"/>
  <c r="AM139" i="1"/>
  <c r="AF139" i="1"/>
  <c r="BB139" i="1"/>
  <c r="BH139" i="1"/>
  <c r="BN139" i="1"/>
  <c r="Z139" i="1"/>
  <c r="BO139" i="1"/>
  <c r="AU139" i="1"/>
  <c r="AT139" i="1"/>
  <c r="Y139" i="1"/>
  <c r="BK139" i="1"/>
  <c r="BA139" i="1"/>
  <c r="R139" i="1"/>
  <c r="BJ139" i="1"/>
  <c r="AN139" i="1"/>
  <c r="AG139" i="1"/>
  <c r="BP139" i="1"/>
  <c r="BI139" i="1"/>
  <c r="S139" i="1"/>
  <c r="BL139" i="1"/>
  <c r="BM139" i="1"/>
  <c r="M140" i="1" l="1"/>
  <c r="N140" i="1"/>
  <c r="O140" i="1"/>
  <c r="P140" i="1"/>
  <c r="Q140" i="1"/>
  <c r="AY140" i="1"/>
  <c r="BC140" i="1"/>
  <c r="AZ140" i="1"/>
  <c r="BD140" i="1"/>
  <c r="BE140" i="1"/>
  <c r="BF140" i="1"/>
  <c r="BG140" i="1"/>
  <c r="AO140" i="1"/>
  <c r="AJ140" i="1"/>
  <c r="AV140" i="1"/>
  <c r="AW140" i="1"/>
  <c r="AX140" i="1"/>
  <c r="AH140" i="1"/>
  <c r="AC140" i="1"/>
  <c r="AI140" i="1"/>
  <c r="AD140" i="1"/>
  <c r="AK140" i="1"/>
  <c r="AE140" i="1"/>
  <c r="AL140" i="1"/>
  <c r="AP140" i="1"/>
  <c r="U140" i="1"/>
  <c r="V140" i="1"/>
  <c r="AQ140" i="1"/>
  <c r="W140" i="1"/>
  <c r="AR140" i="1"/>
  <c r="AS140" i="1"/>
  <c r="X140" i="1"/>
  <c r="AA140" i="1"/>
  <c r="AB140" i="1"/>
  <c r="T140" i="1"/>
  <c r="O141" i="1" l="1"/>
  <c r="P141" i="1"/>
  <c r="Q141" i="1"/>
  <c r="M141" i="1"/>
  <c r="N141" i="1"/>
  <c r="BE141" i="1"/>
  <c r="BF141" i="1"/>
  <c r="BG141" i="1"/>
  <c r="AV141" i="1"/>
  <c r="AW141" i="1"/>
  <c r="AX141" i="1"/>
  <c r="AY141" i="1"/>
  <c r="BC141" i="1"/>
  <c r="AZ141" i="1"/>
  <c r="BD141" i="1"/>
  <c r="AO141" i="1"/>
  <c r="AP141" i="1"/>
  <c r="AQ141" i="1"/>
  <c r="AR141" i="1"/>
  <c r="AS141" i="1"/>
  <c r="AL141" i="1"/>
  <c r="AA141" i="1"/>
  <c r="AB141" i="1"/>
  <c r="X141" i="1"/>
  <c r="AC141" i="1"/>
  <c r="AD141" i="1"/>
  <c r="AI141" i="1"/>
  <c r="AE141" i="1"/>
  <c r="AH141" i="1"/>
  <c r="T141" i="1"/>
  <c r="V141" i="1"/>
  <c r="AJ141" i="1"/>
  <c r="U141" i="1"/>
  <c r="W141" i="1"/>
  <c r="AK141" i="1"/>
  <c r="M142" i="1" l="1"/>
  <c r="Q142" i="1"/>
  <c r="O142" i="1"/>
  <c r="P142" i="1"/>
  <c r="N142" i="1"/>
  <c r="AW142" i="1"/>
  <c r="AX142" i="1"/>
  <c r="AY142" i="1"/>
  <c r="BC142" i="1"/>
  <c r="AZ142" i="1"/>
  <c r="AV142" i="1"/>
  <c r="BD142" i="1"/>
  <c r="AR142" i="1"/>
  <c r="BE142" i="1"/>
  <c r="BF142" i="1"/>
  <c r="BG142" i="1"/>
  <c r="AO142" i="1"/>
  <c r="AH142" i="1"/>
  <c r="AP142" i="1"/>
  <c r="AQ142" i="1"/>
  <c r="AS142" i="1"/>
  <c r="AA142" i="1"/>
  <c r="AI142" i="1"/>
  <c r="AB142" i="1"/>
  <c r="AJ142" i="1"/>
  <c r="AC142" i="1"/>
  <c r="AK142" i="1"/>
  <c r="AD142" i="1"/>
  <c r="AL142" i="1"/>
  <c r="T142" i="1"/>
  <c r="U142" i="1"/>
  <c r="AE142" i="1"/>
  <c r="W142" i="1"/>
  <c r="V142" i="1"/>
  <c r="X142" i="1"/>
  <c r="BH142" i="1"/>
  <c r="S142" i="1"/>
  <c r="BA142" i="1"/>
  <c r="BI142" i="1"/>
  <c r="AM142" i="1"/>
  <c r="AF142" i="1"/>
  <c r="BO142" i="1"/>
  <c r="Z142" i="1"/>
  <c r="BP142" i="1"/>
  <c r="AT142" i="1"/>
  <c r="AU142" i="1"/>
  <c r="AN142" i="1"/>
  <c r="BJ142" i="1"/>
  <c r="Y142" i="1"/>
  <c r="R142" i="1"/>
  <c r="BL142" i="1"/>
  <c r="BB142" i="1"/>
  <c r="AG142" i="1"/>
  <c r="BK142" i="1"/>
  <c r="BM142" i="1"/>
  <c r="BN142" i="1"/>
  <c r="M143" i="1" l="1"/>
  <c r="N143" i="1"/>
  <c r="P143" i="1"/>
  <c r="O143" i="1"/>
  <c r="Q143" i="1"/>
  <c r="BC143" i="1"/>
  <c r="AZ143" i="1"/>
  <c r="BD143" i="1"/>
  <c r="BE143" i="1"/>
  <c r="BF143" i="1"/>
  <c r="BG143" i="1"/>
  <c r="AV143" i="1"/>
  <c r="AW143" i="1"/>
  <c r="AX143" i="1"/>
  <c r="AY143" i="1"/>
  <c r="AO143" i="1"/>
  <c r="AP143" i="1"/>
  <c r="AQ143" i="1"/>
  <c r="AR143" i="1"/>
  <c r="AK143" i="1"/>
  <c r="AS143" i="1"/>
  <c r="AL143" i="1"/>
  <c r="AD143" i="1"/>
  <c r="AE143" i="1"/>
  <c r="V143" i="1"/>
  <c r="X143" i="1"/>
  <c r="AH143" i="1"/>
  <c r="W143" i="1"/>
  <c r="AI143" i="1"/>
  <c r="AJ143" i="1"/>
  <c r="AA143" i="1"/>
  <c r="AB143" i="1"/>
  <c r="AC143" i="1"/>
  <c r="T143" i="1"/>
  <c r="U143" i="1"/>
  <c r="Z143" i="1"/>
  <c r="BN143" i="1"/>
  <c r="R143" i="1"/>
  <c r="BI143" i="1"/>
  <c r="AF143" i="1"/>
  <c r="Y143" i="1"/>
  <c r="AU143" i="1"/>
  <c r="AT143" i="1"/>
  <c r="BP143" i="1"/>
  <c r="S143" i="1"/>
  <c r="BH143" i="1"/>
  <c r="BO143" i="1"/>
  <c r="BK143" i="1"/>
  <c r="BB143" i="1"/>
  <c r="AM143" i="1"/>
  <c r="AN143" i="1"/>
  <c r="BJ143" i="1"/>
  <c r="BL143" i="1"/>
  <c r="BM143" i="1"/>
  <c r="BA143" i="1"/>
  <c r="AG143" i="1"/>
  <c r="P144" i="1" l="1"/>
  <c r="Q144" i="1"/>
  <c r="N144" i="1"/>
  <c r="M144" i="1"/>
  <c r="O144" i="1"/>
  <c r="BF144" i="1"/>
  <c r="BG144" i="1"/>
  <c r="AV144" i="1"/>
  <c r="AW144" i="1"/>
  <c r="AX144" i="1"/>
  <c r="AY144" i="1"/>
  <c r="BC144" i="1"/>
  <c r="AZ144" i="1"/>
  <c r="BD144" i="1"/>
  <c r="BE144" i="1"/>
  <c r="AP144" i="1"/>
  <c r="AS144" i="1"/>
  <c r="AO144" i="1"/>
  <c r="AH144" i="1"/>
  <c r="AQ144" i="1"/>
  <c r="AI144" i="1"/>
  <c r="AA144" i="1"/>
  <c r="AR144" i="1"/>
  <c r="AJ144" i="1"/>
  <c r="AB144" i="1"/>
  <c r="AC144" i="1"/>
  <c r="AK144" i="1"/>
  <c r="U144" i="1"/>
  <c r="AD144" i="1"/>
  <c r="AE144" i="1"/>
  <c r="T144" i="1"/>
  <c r="AL144" i="1"/>
  <c r="X144" i="1"/>
  <c r="V144" i="1"/>
  <c r="W144" i="1"/>
  <c r="N145" i="1" l="1"/>
  <c r="P145" i="1"/>
  <c r="Q145" i="1"/>
  <c r="M145" i="1"/>
  <c r="O145" i="1"/>
  <c r="AX145" i="1"/>
  <c r="AY145" i="1"/>
  <c r="BC145" i="1"/>
  <c r="AZ145" i="1"/>
  <c r="BD145" i="1"/>
  <c r="AV145" i="1"/>
  <c r="AW145" i="1"/>
  <c r="AS145" i="1"/>
  <c r="BE145" i="1"/>
  <c r="BF145" i="1"/>
  <c r="AO145" i="1"/>
  <c r="BG145" i="1"/>
  <c r="AP145" i="1"/>
  <c r="AQ145" i="1"/>
  <c r="AR145" i="1"/>
  <c r="AI145" i="1"/>
  <c r="AK145" i="1"/>
  <c r="AB145" i="1"/>
  <c r="AL145" i="1"/>
  <c r="AC145" i="1"/>
  <c r="AD145" i="1"/>
  <c r="AE145" i="1"/>
  <c r="T145" i="1"/>
  <c r="U145" i="1"/>
  <c r="V145" i="1"/>
  <c r="X145" i="1"/>
  <c r="AA145" i="1"/>
  <c r="W145" i="1"/>
  <c r="AH145" i="1"/>
  <c r="AJ145" i="1"/>
  <c r="N146" i="1" l="1"/>
  <c r="O146" i="1"/>
  <c r="Q146" i="1"/>
  <c r="M146" i="1"/>
  <c r="P146" i="1"/>
  <c r="BD146" i="1"/>
  <c r="BE146" i="1"/>
  <c r="BF146" i="1"/>
  <c r="BG146" i="1"/>
  <c r="AV146" i="1"/>
  <c r="AW146" i="1"/>
  <c r="AR146" i="1"/>
  <c r="AX146" i="1"/>
  <c r="AS146" i="1"/>
  <c r="AY146" i="1"/>
  <c r="BC146" i="1"/>
  <c r="AZ146" i="1"/>
  <c r="AL146" i="1"/>
  <c r="AO146" i="1"/>
  <c r="AP146" i="1"/>
  <c r="AQ146" i="1"/>
  <c r="AE146" i="1"/>
  <c r="AH146" i="1"/>
  <c r="AI146" i="1"/>
  <c r="AJ146" i="1"/>
  <c r="W146" i="1"/>
  <c r="AK146" i="1"/>
  <c r="X146" i="1"/>
  <c r="AA146" i="1"/>
  <c r="AB146" i="1"/>
  <c r="T146" i="1"/>
  <c r="U146" i="1"/>
  <c r="V146" i="1"/>
  <c r="AD146" i="1"/>
  <c r="AC146" i="1"/>
  <c r="AN146" i="1"/>
  <c r="Z146" i="1"/>
  <c r="BH146" i="1"/>
  <c r="BM146" i="1"/>
  <c r="BB146" i="1"/>
  <c r="BP146" i="1"/>
  <c r="BN146" i="1"/>
  <c r="AU146" i="1"/>
  <c r="BO146" i="1"/>
  <c r="BK146" i="1"/>
  <c r="AG146" i="1"/>
  <c r="R146" i="1"/>
  <c r="BI146" i="1"/>
  <c r="AM146" i="1"/>
  <c r="Y146" i="1"/>
  <c r="AT146" i="1"/>
  <c r="AF146" i="1"/>
  <c r="BL146" i="1"/>
  <c r="BJ146" i="1"/>
  <c r="BA146" i="1"/>
  <c r="S146" i="1"/>
  <c r="Q147" i="1" l="1"/>
  <c r="N147" i="1"/>
  <c r="P147" i="1"/>
  <c r="M147" i="1"/>
  <c r="O147" i="1"/>
  <c r="BG147" i="1"/>
  <c r="AV147" i="1"/>
  <c r="AW147" i="1"/>
  <c r="AX147" i="1"/>
  <c r="AY147" i="1"/>
  <c r="BC147" i="1"/>
  <c r="AZ147" i="1"/>
  <c r="BD147" i="1"/>
  <c r="BE147" i="1"/>
  <c r="BF147" i="1"/>
  <c r="AQ147" i="1"/>
  <c r="AO147" i="1"/>
  <c r="AP147" i="1"/>
  <c r="AJ147" i="1"/>
  <c r="AK147" i="1"/>
  <c r="AA147" i="1"/>
  <c r="AL147" i="1"/>
  <c r="AB147" i="1"/>
  <c r="AC147" i="1"/>
  <c r="AD147" i="1"/>
  <c r="AR147" i="1"/>
  <c r="AE147" i="1"/>
  <c r="AS147" i="1"/>
  <c r="AH147" i="1"/>
  <c r="T147" i="1"/>
  <c r="V147" i="1"/>
  <c r="AI147" i="1"/>
  <c r="U147" i="1"/>
  <c r="X147" i="1"/>
  <c r="W147" i="1"/>
  <c r="AU147" i="1"/>
  <c r="BL147" i="1"/>
  <c r="AT147" i="1"/>
  <c r="R147" i="1"/>
  <c r="BI147" i="1"/>
  <c r="AM147" i="1"/>
  <c r="BN147" i="1"/>
  <c r="Z147" i="1"/>
  <c r="BO147" i="1"/>
  <c r="Y147" i="1"/>
  <c r="BM147" i="1"/>
  <c r="BJ147" i="1"/>
  <c r="S147" i="1"/>
  <c r="BK147" i="1"/>
  <c r="BB147" i="1"/>
  <c r="BH147" i="1"/>
  <c r="AN147" i="1"/>
  <c r="BA147" i="1"/>
  <c r="BP147" i="1"/>
  <c r="AG147" i="1"/>
  <c r="AF147" i="1"/>
  <c r="M148" i="1" l="1"/>
  <c r="O148" i="1"/>
  <c r="N148" i="1"/>
  <c r="P148" i="1"/>
  <c r="Q148" i="1"/>
  <c r="AY148" i="1"/>
  <c r="BC148" i="1"/>
  <c r="AZ148" i="1"/>
  <c r="BD148" i="1"/>
  <c r="BE148" i="1"/>
  <c r="AV148" i="1"/>
  <c r="AW148" i="1"/>
  <c r="AX148" i="1"/>
  <c r="BF148" i="1"/>
  <c r="BG148" i="1"/>
  <c r="AQ148" i="1"/>
  <c r="AR148" i="1"/>
  <c r="AS148" i="1"/>
  <c r="AJ148" i="1"/>
  <c r="AC148" i="1"/>
  <c r="AD148" i="1"/>
  <c r="AE148" i="1"/>
  <c r="AH148" i="1"/>
  <c r="U148" i="1"/>
  <c r="V148" i="1"/>
  <c r="W148" i="1"/>
  <c r="AK148" i="1"/>
  <c r="AI148" i="1"/>
  <c r="AA148" i="1"/>
  <c r="AB148" i="1"/>
  <c r="X148" i="1"/>
  <c r="AL148" i="1"/>
  <c r="AO148" i="1"/>
  <c r="AP148" i="1"/>
  <c r="T148" i="1"/>
  <c r="BJ148" i="1"/>
  <c r="BO148" i="1"/>
  <c r="AM148" i="1"/>
  <c r="BH148" i="1"/>
  <c r="BM148" i="1"/>
  <c r="BB148" i="1"/>
  <c r="BA148" i="1"/>
  <c r="AF148" i="1"/>
  <c r="BI148" i="1"/>
  <c r="AG148" i="1"/>
  <c r="BL148" i="1"/>
  <c r="Y148" i="1"/>
  <c r="BN148" i="1"/>
  <c r="AT148" i="1"/>
  <c r="S148" i="1"/>
  <c r="AU148" i="1"/>
  <c r="BK148" i="1"/>
  <c r="Z148" i="1"/>
  <c r="AN148" i="1"/>
  <c r="R148" i="1"/>
  <c r="BP148" i="1"/>
  <c r="O149" i="1" l="1"/>
  <c r="P149" i="1"/>
  <c r="Q149" i="1"/>
  <c r="N149" i="1"/>
  <c r="M149" i="1"/>
  <c r="BE149" i="1"/>
  <c r="BF149" i="1"/>
  <c r="BG149" i="1"/>
  <c r="AV149" i="1"/>
  <c r="AW149" i="1"/>
  <c r="AX149" i="1"/>
  <c r="AO149" i="1"/>
  <c r="AY149" i="1"/>
  <c r="BC149" i="1"/>
  <c r="AZ149" i="1"/>
  <c r="BD149" i="1"/>
  <c r="AP149" i="1"/>
  <c r="AQ149" i="1"/>
  <c r="AR149" i="1"/>
  <c r="AS149" i="1"/>
  <c r="AI149" i="1"/>
  <c r="AJ149" i="1"/>
  <c r="AK149" i="1"/>
  <c r="AL149" i="1"/>
  <c r="AA149" i="1"/>
  <c r="X149" i="1"/>
  <c r="AC149" i="1"/>
  <c r="AB149" i="1"/>
  <c r="T149" i="1"/>
  <c r="W149" i="1"/>
  <c r="AD149" i="1"/>
  <c r="AH149" i="1"/>
  <c r="U149" i="1"/>
  <c r="AE149" i="1"/>
  <c r="V149" i="1"/>
  <c r="M150" i="1" l="1"/>
  <c r="P150" i="1"/>
  <c r="O150" i="1"/>
  <c r="Q150" i="1"/>
  <c r="N150" i="1"/>
  <c r="AW150" i="1"/>
  <c r="AX150" i="1"/>
  <c r="AY150" i="1"/>
  <c r="BC150" i="1"/>
  <c r="AZ150" i="1"/>
  <c r="BD150" i="1"/>
  <c r="BE150" i="1"/>
  <c r="BF150" i="1"/>
  <c r="BG150" i="1"/>
  <c r="AR150" i="1"/>
  <c r="AV150" i="1"/>
  <c r="AP150" i="1"/>
  <c r="AQ150" i="1"/>
  <c r="AS150" i="1"/>
  <c r="AH150" i="1"/>
  <c r="AO150" i="1"/>
  <c r="AA150" i="1"/>
  <c r="AB150" i="1"/>
  <c r="AC150" i="1"/>
  <c r="AD150" i="1"/>
  <c r="AI150" i="1"/>
  <c r="AE150" i="1"/>
  <c r="AJ150" i="1"/>
  <c r="T150" i="1"/>
  <c r="AK150" i="1"/>
  <c r="U150" i="1"/>
  <c r="W150" i="1"/>
  <c r="AL150" i="1"/>
  <c r="V150" i="1"/>
  <c r="X150" i="1"/>
  <c r="BJ150" i="1"/>
  <c r="BK150" i="1"/>
  <c r="BP150" i="1"/>
  <c r="BM150" i="1"/>
  <c r="AU150" i="1"/>
  <c r="AT150" i="1"/>
  <c r="BA150" i="1"/>
  <c r="AM150" i="1"/>
  <c r="S150" i="1"/>
  <c r="BI150" i="1"/>
  <c r="AF150" i="1"/>
  <c r="Y150" i="1"/>
  <c r="BB150" i="1"/>
  <c r="BL150" i="1"/>
  <c r="R150" i="1"/>
  <c r="AN150" i="1"/>
  <c r="BH150" i="1"/>
  <c r="Z150" i="1"/>
  <c r="BN150" i="1"/>
  <c r="AG150" i="1"/>
  <c r="BO150" i="1"/>
  <c r="M151" i="1" l="1"/>
  <c r="N151" i="1"/>
  <c r="P151" i="1"/>
  <c r="O151" i="1"/>
  <c r="Q151" i="1"/>
  <c r="BC151" i="1"/>
  <c r="AZ151" i="1"/>
  <c r="BD151" i="1"/>
  <c r="BE151" i="1"/>
  <c r="BF151" i="1"/>
  <c r="AV151" i="1"/>
  <c r="AW151" i="1"/>
  <c r="AX151" i="1"/>
  <c r="AY151" i="1"/>
  <c r="AO151" i="1"/>
  <c r="BG151" i="1"/>
  <c r="AK151" i="1"/>
  <c r="AP151" i="1"/>
  <c r="AH151" i="1"/>
  <c r="AD151" i="1"/>
  <c r="AQ151" i="1"/>
  <c r="AI151" i="1"/>
  <c r="AE151" i="1"/>
  <c r="AR151" i="1"/>
  <c r="AJ151" i="1"/>
  <c r="AS151" i="1"/>
  <c r="AL151" i="1"/>
  <c r="V151" i="1"/>
  <c r="W151" i="1"/>
  <c r="AA151" i="1"/>
  <c r="X151" i="1"/>
  <c r="AB151" i="1"/>
  <c r="AC151" i="1"/>
  <c r="T151" i="1"/>
  <c r="U151" i="1"/>
  <c r="Z151" i="1"/>
  <c r="S151" i="1"/>
  <c r="BO151" i="1"/>
  <c r="BB151" i="1"/>
  <c r="BM151" i="1"/>
  <c r="BP151" i="1"/>
  <c r="BJ151" i="1"/>
  <c r="AN151" i="1"/>
  <c r="AF151" i="1"/>
  <c r="AU151" i="1"/>
  <c r="AM151" i="1"/>
  <c r="BI151" i="1"/>
  <c r="R151" i="1"/>
  <c r="BL151" i="1"/>
  <c r="BK151" i="1"/>
  <c r="AT151" i="1"/>
  <c r="AG151" i="1"/>
  <c r="BN151" i="1"/>
  <c r="Y151" i="1"/>
  <c r="BA151" i="1"/>
  <c r="BH151" i="1"/>
  <c r="AV152" i="1" l="1"/>
  <c r="AW152" i="1"/>
  <c r="AX152" i="1"/>
  <c r="AY152" i="1"/>
  <c r="AZ152" i="1"/>
  <c r="U152" i="1"/>
  <c r="BK152" i="1"/>
  <c r="BA152" i="1"/>
  <c r="AD152" i="1"/>
  <c r="V152" i="1"/>
  <c r="O152" i="1"/>
  <c r="AG152" i="1"/>
  <c r="BB152" i="1"/>
  <c r="X152" i="1"/>
  <c r="BL152" i="1"/>
  <c r="W152" i="1"/>
  <c r="R152" i="1"/>
  <c r="BI152" i="1"/>
  <c r="Q152" i="1"/>
  <c r="Z152" i="1"/>
  <c r="BH152" i="1"/>
  <c r="AR152" i="1"/>
  <c r="AJ152" i="1"/>
  <c r="AU152" i="1"/>
  <c r="BE152" i="1"/>
  <c r="BM152" i="1"/>
  <c r="AI152" i="1"/>
  <c r="BO152" i="1"/>
  <c r="AB152" i="1"/>
  <c r="BF152" i="1"/>
  <c r="T152" i="1"/>
  <c r="M152" i="1"/>
  <c r="AS152" i="1"/>
  <c r="BC152" i="1"/>
  <c r="AM152" i="1"/>
  <c r="N152" i="1"/>
  <c r="AF152" i="1"/>
  <c r="AT152" i="1"/>
  <c r="AP152" i="1"/>
  <c r="AK152" i="1"/>
  <c r="AQ152" i="1"/>
  <c r="AL152" i="1"/>
  <c r="P152" i="1"/>
  <c r="AC152" i="1"/>
  <c r="BJ152" i="1"/>
  <c r="BN152" i="1"/>
  <c r="AA152" i="1"/>
  <c r="AO152" i="1"/>
  <c r="AH152" i="1"/>
  <c r="AE152" i="1"/>
  <c r="Y152" i="1"/>
  <c r="S152" i="1"/>
  <c r="AN152" i="1"/>
  <c r="BD152" i="1"/>
  <c r="BP152" i="1"/>
  <c r="BG152" i="1"/>
  <c r="AX153" i="1" l="1"/>
  <c r="AY153" i="1"/>
  <c r="AZ153" i="1"/>
  <c r="AV153" i="1"/>
  <c r="AW153" i="1"/>
  <c r="BN153" i="1"/>
  <c r="T153" i="1"/>
  <c r="S153" i="1"/>
  <c r="AF153" i="1"/>
  <c r="AQ153" i="1"/>
  <c r="BP153" i="1"/>
  <c r="AO153" i="1"/>
  <c r="BO153" i="1"/>
  <c r="N153" i="1"/>
  <c r="W153" i="1"/>
  <c r="AA153" i="1"/>
  <c r="AK153" i="1"/>
  <c r="AS153" i="1"/>
  <c r="BI153" i="1"/>
  <c r="BJ153" i="1"/>
  <c r="BC153" i="1"/>
  <c r="BB153" i="1"/>
  <c r="BA153" i="1"/>
  <c r="BG153" i="1"/>
  <c r="AU153" i="1"/>
  <c r="AT153" i="1"/>
  <c r="AB153" i="1"/>
  <c r="Z153" i="1"/>
  <c r="AE153" i="1"/>
  <c r="AJ153" i="1"/>
  <c r="AH153" i="1"/>
  <c r="BF153" i="1"/>
  <c r="AD153" i="1"/>
  <c r="X153" i="1"/>
  <c r="AM153" i="1"/>
  <c r="R153" i="1"/>
  <c r="AP153" i="1"/>
  <c r="BH153" i="1"/>
  <c r="AG153" i="1"/>
  <c r="AI153" i="1"/>
  <c r="BL153" i="1"/>
  <c r="BE153" i="1"/>
  <c r="M153" i="1"/>
  <c r="BM153" i="1"/>
  <c r="U153" i="1"/>
  <c r="AN153" i="1"/>
  <c r="AC153" i="1"/>
  <c r="V153" i="1"/>
  <c r="AR153" i="1"/>
  <c r="P153" i="1"/>
  <c r="BK153" i="1"/>
  <c r="Q153" i="1"/>
  <c r="O153" i="1"/>
  <c r="BD153" i="1"/>
  <c r="Y153" i="1"/>
  <c r="AL153" i="1"/>
  <c r="AV154" i="1" l="1"/>
  <c r="AW154" i="1"/>
  <c r="AX154" i="1"/>
  <c r="AY154" i="1"/>
  <c r="AZ154" i="1"/>
  <c r="AH154" i="1"/>
  <c r="BN154" i="1"/>
  <c r="BK154" i="1"/>
  <c r="AS154" i="1"/>
  <c r="Y154" i="1"/>
  <c r="AQ154" i="1"/>
  <c r="BA154" i="1"/>
  <c r="AF154" i="1"/>
  <c r="AE154" i="1"/>
  <c r="X154" i="1"/>
  <c r="BJ154" i="1"/>
  <c r="AL154" i="1"/>
  <c r="N154" i="1"/>
  <c r="AP154" i="1"/>
  <c r="BO154" i="1"/>
  <c r="AM154" i="1"/>
  <c r="AA154" i="1"/>
  <c r="P154" i="1"/>
  <c r="BM154" i="1"/>
  <c r="AC154" i="1"/>
  <c r="V154" i="1"/>
  <c r="AI154" i="1"/>
  <c r="BL154" i="1"/>
  <c r="AR154" i="1"/>
  <c r="AD154" i="1"/>
  <c r="R154" i="1"/>
  <c r="S154" i="1"/>
  <c r="O154" i="1"/>
  <c r="AJ154" i="1"/>
  <c r="Q154" i="1"/>
  <c r="BF154" i="1"/>
  <c r="BE154" i="1"/>
  <c r="BG154" i="1"/>
  <c r="BH154" i="1"/>
  <c r="AB154" i="1"/>
  <c r="AT154" i="1"/>
  <c r="W154" i="1"/>
  <c r="BB154" i="1"/>
  <c r="AU154" i="1"/>
  <c r="BC154" i="1"/>
  <c r="T154" i="1"/>
  <c r="M154" i="1"/>
  <c r="BD154" i="1"/>
  <c r="AN154" i="1"/>
  <c r="BP154" i="1"/>
  <c r="AG154" i="1"/>
  <c r="AK154" i="1"/>
  <c r="AO154" i="1"/>
  <c r="U154" i="1"/>
  <c r="BI154" i="1"/>
  <c r="Z154" i="1"/>
  <c r="AV155" i="1" l="1"/>
  <c r="AW155" i="1"/>
  <c r="AX155" i="1"/>
  <c r="AY155" i="1"/>
  <c r="AZ155" i="1"/>
  <c r="U155" i="1"/>
  <c r="BG155" i="1"/>
  <c r="BI155" i="1"/>
  <c r="V155" i="1"/>
  <c r="AF155" i="1"/>
  <c r="M155" i="1"/>
  <c r="AB155" i="1"/>
  <c r="W155" i="1"/>
  <c r="AS155" i="1"/>
  <c r="AC155" i="1"/>
  <c r="Z155" i="1"/>
  <c r="AI155" i="1"/>
  <c r="Y155" i="1"/>
  <c r="AU155" i="1"/>
  <c r="BF155" i="1"/>
  <c r="BM155" i="1"/>
  <c r="BD155" i="1"/>
  <c r="N155" i="1"/>
  <c r="BL155" i="1"/>
  <c r="AH155" i="1"/>
  <c r="BK155" i="1"/>
  <c r="BC155" i="1"/>
  <c r="Q155" i="1"/>
  <c r="AT155" i="1"/>
  <c r="X155" i="1"/>
  <c r="AR155" i="1"/>
  <c r="AJ155" i="1"/>
  <c r="AL155" i="1"/>
  <c r="P155" i="1"/>
  <c r="O155" i="1"/>
  <c r="AE155" i="1"/>
  <c r="BH155" i="1"/>
  <c r="BN155" i="1"/>
  <c r="AO155" i="1"/>
  <c r="AM155" i="1"/>
  <c r="AQ155" i="1"/>
  <c r="T155" i="1"/>
  <c r="BP155" i="1"/>
  <c r="AN155" i="1"/>
  <c r="AA155" i="1"/>
  <c r="BO155" i="1"/>
  <c r="AK155" i="1"/>
  <c r="BE155" i="1"/>
  <c r="AG155" i="1"/>
  <c r="R155" i="1"/>
  <c r="AD155" i="1"/>
  <c r="AP155" i="1"/>
  <c r="BB155" i="1"/>
  <c r="S155" i="1"/>
  <c r="BJ155" i="1"/>
  <c r="BA155" i="1"/>
  <c r="AY156" i="1" l="1"/>
  <c r="AZ156" i="1"/>
  <c r="AV156" i="1"/>
  <c r="AW156" i="1"/>
  <c r="AX156" i="1"/>
  <c r="BC156" i="1"/>
  <c r="AU156" i="1"/>
  <c r="R156" i="1"/>
  <c r="AN156" i="1"/>
  <c r="AH156" i="1"/>
  <c r="AD156" i="1"/>
  <c r="U156" i="1"/>
  <c r="AR156" i="1"/>
  <c r="N156" i="1"/>
  <c r="AB156" i="1"/>
  <c r="BK156" i="1"/>
  <c r="BE156" i="1"/>
  <c r="T156" i="1"/>
  <c r="BB156" i="1"/>
  <c r="BA156" i="1"/>
  <c r="AJ156" i="1"/>
  <c r="AQ156" i="1"/>
  <c r="S156" i="1"/>
  <c r="AK156" i="1"/>
  <c r="BG156" i="1"/>
  <c r="AI156" i="1"/>
  <c r="AC156" i="1"/>
  <c r="M156" i="1"/>
  <c r="BN156" i="1"/>
  <c r="P156" i="1"/>
  <c r="Q156" i="1"/>
  <c r="BJ156" i="1"/>
  <c r="BL156" i="1"/>
  <c r="AE156" i="1"/>
  <c r="Z156" i="1"/>
  <c r="AT156" i="1"/>
  <c r="AA156" i="1"/>
  <c r="V156" i="1"/>
  <c r="AG156" i="1"/>
  <c r="AL156" i="1"/>
  <c r="O156" i="1"/>
  <c r="BF156" i="1"/>
  <c r="AS156" i="1"/>
  <c r="BP156" i="1"/>
  <c r="BD156" i="1"/>
  <c r="Y156" i="1"/>
  <c r="AP156" i="1"/>
  <c r="BO156" i="1"/>
  <c r="AF156" i="1"/>
  <c r="X156" i="1"/>
  <c r="W156" i="1"/>
  <c r="BI156" i="1"/>
  <c r="AM156" i="1"/>
  <c r="BH156" i="1"/>
  <c r="BM156" i="1"/>
  <c r="AO156" i="1"/>
  <c r="AV157" i="1" l="1"/>
  <c r="AW157" i="1"/>
  <c r="AX157" i="1"/>
  <c r="AY157" i="1"/>
  <c r="AZ157" i="1"/>
  <c r="Q157" i="1"/>
  <c r="BK157" i="1"/>
  <c r="AF157" i="1"/>
  <c r="S157" i="1"/>
  <c r="BJ157" i="1"/>
  <c r="AA157" i="1"/>
  <c r="BL157" i="1"/>
  <c r="BF157" i="1"/>
  <c r="AG157" i="1"/>
  <c r="P157" i="1"/>
  <c r="AS157" i="1"/>
  <c r="X157" i="1"/>
  <c r="AM157" i="1"/>
  <c r="AK157" i="1"/>
  <c r="BC157" i="1"/>
  <c r="AI157" i="1"/>
  <c r="Z157" i="1"/>
  <c r="BA157" i="1"/>
  <c r="BI157" i="1"/>
  <c r="R157" i="1"/>
  <c r="N157" i="1"/>
  <c r="AC157" i="1"/>
  <c r="BO157" i="1"/>
  <c r="AU157" i="1"/>
  <c r="BP157" i="1"/>
  <c r="AP157" i="1"/>
  <c r="AO157" i="1"/>
  <c r="M157" i="1"/>
  <c r="BB157" i="1"/>
  <c r="AL157" i="1"/>
  <c r="W157" i="1"/>
  <c r="O157" i="1"/>
  <c r="BE157" i="1"/>
  <c r="AD157" i="1"/>
  <c r="BH157" i="1"/>
  <c r="AE157" i="1"/>
  <c r="BD157" i="1"/>
  <c r="AH157" i="1"/>
  <c r="BM157" i="1"/>
  <c r="AJ157" i="1"/>
  <c r="BG157" i="1"/>
  <c r="T157" i="1"/>
  <c r="V157" i="1"/>
  <c r="AQ157" i="1"/>
  <c r="AN157" i="1"/>
  <c r="AB157" i="1"/>
  <c r="BN157" i="1"/>
  <c r="Y157" i="1"/>
  <c r="AT157" i="1"/>
  <c r="AR157" i="1"/>
  <c r="U157" i="1"/>
  <c r="AW158" i="1" l="1"/>
  <c r="AX158" i="1"/>
  <c r="AY158" i="1"/>
  <c r="AZ158" i="1"/>
  <c r="AV158" i="1"/>
  <c r="BE158" i="1"/>
  <c r="AG158" i="1"/>
  <c r="AU158" i="1"/>
  <c r="AI158" i="1"/>
  <c r="W158" i="1"/>
  <c r="U158" i="1"/>
  <c r="BC158" i="1"/>
  <c r="BP158" i="1"/>
  <c r="P158" i="1"/>
  <c r="AD158" i="1"/>
  <c r="BM158" i="1"/>
  <c r="Z158" i="1"/>
  <c r="Q158" i="1"/>
  <c r="BA158" i="1"/>
  <c r="AQ158" i="1"/>
  <c r="AN158" i="1"/>
  <c r="AE158" i="1"/>
  <c r="AK158" i="1"/>
  <c r="BJ158" i="1"/>
  <c r="BL158" i="1"/>
  <c r="AA158" i="1"/>
  <c r="BG158" i="1"/>
  <c r="AP158" i="1"/>
  <c r="BO158" i="1"/>
  <c r="AS158" i="1"/>
  <c r="BH158" i="1"/>
  <c r="BF158" i="1"/>
  <c r="AB158" i="1"/>
  <c r="N158" i="1"/>
  <c r="AC158" i="1"/>
  <c r="R158" i="1"/>
  <c r="X158" i="1"/>
  <c r="O158" i="1"/>
  <c r="AF158" i="1"/>
  <c r="M158" i="1"/>
  <c r="BK158" i="1"/>
  <c r="BI158" i="1"/>
  <c r="Y158" i="1"/>
  <c r="AO158" i="1"/>
  <c r="V158" i="1"/>
  <c r="BB158" i="1"/>
  <c r="AL158" i="1"/>
  <c r="AJ158" i="1"/>
  <c r="S158" i="1"/>
  <c r="BN158" i="1"/>
  <c r="AR158" i="1"/>
  <c r="AT158" i="1"/>
  <c r="BD158" i="1"/>
  <c r="T158" i="1"/>
  <c r="AM158" i="1"/>
  <c r="AH158" i="1"/>
  <c r="AZ159" i="1" l="1"/>
  <c r="AV159" i="1"/>
  <c r="AW159" i="1"/>
  <c r="AX159" i="1"/>
  <c r="AY159" i="1"/>
  <c r="AV160" i="1" l="1"/>
  <c r="AW160" i="1"/>
  <c r="AX160" i="1"/>
  <c r="AY160" i="1"/>
  <c r="AZ160" i="1"/>
  <c r="AX162" i="1" l="1"/>
  <c r="AY162" i="1"/>
  <c r="AZ162" i="1"/>
  <c r="AV162" i="1"/>
  <c r="AW162" i="1"/>
  <c r="BA162" i="1"/>
  <c r="AM162" i="1"/>
  <c r="BM162" i="1"/>
  <c r="C11" i="2"/>
  <c r="BP162" i="1"/>
  <c r="Q162" i="1"/>
  <c r="BF162" i="1"/>
  <c r="AQ162" i="1"/>
  <c r="AD162" i="1"/>
  <c r="BH162" i="1"/>
  <c r="AF162" i="1"/>
  <c r="AJ162" i="1"/>
  <c r="Z162" i="1"/>
  <c r="AO162" i="1"/>
  <c r="AE162" i="1"/>
  <c r="BB162" i="1"/>
  <c r="P162" i="1"/>
  <c r="R162" i="1"/>
  <c r="AH162" i="1"/>
  <c r="O162" i="1"/>
  <c r="M162" i="1"/>
  <c r="BJ162" i="1"/>
  <c r="BK162" i="1"/>
  <c r="V162" i="1"/>
  <c r="Y162" i="1"/>
  <c r="BC162" i="1"/>
  <c r="BN162" i="1"/>
  <c r="AP162" i="1"/>
  <c r="BL162" i="1"/>
  <c r="AA162" i="1"/>
  <c r="AG162" i="1"/>
  <c r="BD162" i="1"/>
  <c r="U162" i="1"/>
  <c r="AL162" i="1"/>
  <c r="AN162" i="1"/>
  <c r="AK162" i="1"/>
  <c r="BI162" i="1"/>
  <c r="AU162" i="1"/>
  <c r="X162" i="1"/>
  <c r="AS162" i="1"/>
  <c r="BG162" i="1"/>
  <c r="AI162" i="1"/>
  <c r="BO162" i="1"/>
  <c r="AC162" i="1"/>
  <c r="S162" i="1"/>
  <c r="AR162" i="1"/>
  <c r="AT162" i="1"/>
  <c r="N162" i="1"/>
  <c r="BE162" i="1"/>
  <c r="W162" i="1"/>
  <c r="T162" i="1"/>
  <c r="AB16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<sst xmlns="http://schemas.openxmlformats.org/spreadsheetml/2006/main" count="2016" uniqueCount="706">
  <si>
    <t>Type</t>
  </si>
  <si>
    <t>S</t>
  </si>
  <si>
    <t>Determine external issues</t>
  </si>
  <si>
    <t>Determine internal issues</t>
  </si>
  <si>
    <t>ID</t>
  </si>
  <si>
    <t>T</t>
  </si>
  <si>
    <t>M</t>
  </si>
  <si>
    <t>Identify external interested parties</t>
  </si>
  <si>
    <t>Identify internal interested parties</t>
  </si>
  <si>
    <t>Identify requirements of interested parties</t>
  </si>
  <si>
    <t>Determine preliminary scope</t>
  </si>
  <si>
    <t>Determine refined scope</t>
  </si>
  <si>
    <t>Determine final scope</t>
  </si>
  <si>
    <t>Identify primary assets</t>
  </si>
  <si>
    <t>Identify supporting assets</t>
  </si>
  <si>
    <t>Risk identification</t>
  </si>
  <si>
    <t>Identify threats</t>
  </si>
  <si>
    <t>Identify existing controls</t>
  </si>
  <si>
    <t>Identify vulnerabilities</t>
  </si>
  <si>
    <t>Risk analysis</t>
  </si>
  <si>
    <t>Identify consequences (impact)</t>
  </si>
  <si>
    <t>Assess consequences (impact)</t>
  </si>
  <si>
    <t>Assess likelihood</t>
  </si>
  <si>
    <t>Determine risk level</t>
  </si>
  <si>
    <t>Risk evaluation</t>
  </si>
  <si>
    <t>Evaluate risks</t>
  </si>
  <si>
    <t>Formulate risk treatment plan</t>
  </si>
  <si>
    <t>Select risk treatment options</t>
  </si>
  <si>
    <t>Determine controls</t>
  </si>
  <si>
    <t>Risk treatment plan is approved</t>
  </si>
  <si>
    <t>Publish information security policy</t>
  </si>
  <si>
    <t>Determine information security objectives</t>
  </si>
  <si>
    <t>Define information security risk acceptance criteria</t>
  </si>
  <si>
    <t>Risk assessment is completed</t>
  </si>
  <si>
    <t>Internal audit</t>
  </si>
  <si>
    <t>Management review</t>
  </si>
  <si>
    <t>ISO/IEC 27001 certificate</t>
  </si>
  <si>
    <t>Request proposals</t>
  </si>
  <si>
    <t>Review proposals</t>
  </si>
  <si>
    <t>Select certification body</t>
  </si>
  <si>
    <t>Sign engagement letter</t>
  </si>
  <si>
    <t>Management support is obtained</t>
  </si>
  <si>
    <t>Establish audit programme objectives</t>
  </si>
  <si>
    <t>Determine audit programme risks and opportunities</t>
  </si>
  <si>
    <t>Evaluate audit programme risks and opportunities</t>
  </si>
  <si>
    <t>Establish audit programme</t>
  </si>
  <si>
    <t>Implement audit programme</t>
  </si>
  <si>
    <t>Conduct internal audits</t>
  </si>
  <si>
    <t>Report audit results</t>
  </si>
  <si>
    <t>Plan corrective actions</t>
  </si>
  <si>
    <t>Assess corrective actions</t>
  </si>
  <si>
    <t>Identify nonconformities</t>
  </si>
  <si>
    <t>Review nonconformities</t>
  </si>
  <si>
    <t>ISMS is compliant</t>
  </si>
  <si>
    <t>ISMS is certified</t>
  </si>
  <si>
    <t>Update Statement of Applicability (SoA)</t>
  </si>
  <si>
    <t>Monitoring</t>
  </si>
  <si>
    <t>Identify information needs</t>
  </si>
  <si>
    <t>Create and maintain measures</t>
  </si>
  <si>
    <t>Monitor and measure</t>
  </si>
  <si>
    <t>Analyse results</t>
  </si>
  <si>
    <t>Evaluate information security performance</t>
  </si>
  <si>
    <t>Evaluate ISMS effectiveness</t>
  </si>
  <si>
    <t>Risk treatment plan is implemented</t>
  </si>
  <si>
    <t>Document results</t>
  </si>
  <si>
    <t>Information security risk assessment process (6.1.2)</t>
  </si>
  <si>
    <t>Information security risk treatment process (6.1.3)</t>
  </si>
  <si>
    <t>Scope of the ISMS (4.3)</t>
  </si>
  <si>
    <t>Statement of Applicability (SoA) (6.1.3)</t>
  </si>
  <si>
    <t>Information security objectives (6.2)</t>
  </si>
  <si>
    <t>Results of management reviews (9.3)</t>
  </si>
  <si>
    <t>Audit results (9.2)</t>
  </si>
  <si>
    <t>Audit programme (9.2)</t>
  </si>
  <si>
    <t>Produce Statement of Applicability (SoA)</t>
  </si>
  <si>
    <t>Outline business case</t>
  </si>
  <si>
    <t>Contact certfication bodies</t>
  </si>
  <si>
    <t>Schedule stage 1 audit</t>
  </si>
  <si>
    <t>Undergo stage 1 audit</t>
  </si>
  <si>
    <t>Schedule stage 2 audit</t>
  </si>
  <si>
    <t>Undergo stage 2 audit</t>
  </si>
  <si>
    <t>1. Management Support</t>
  </si>
  <si>
    <t>Information classification policy (A.5.12)</t>
  </si>
  <si>
    <t>Nature of the nonconformities and any subsequent actions taken (10.2 f))</t>
  </si>
  <si>
    <t>Perform root cause analysis</t>
  </si>
  <si>
    <t>Results of any corrective action (10.2 g))</t>
  </si>
  <si>
    <t>Determine corrective actions</t>
  </si>
  <si>
    <t>%</t>
  </si>
  <si>
    <t>Reference</t>
  </si>
  <si>
    <t>4.1</t>
  </si>
  <si>
    <t>4.2 a)</t>
  </si>
  <si>
    <t>4.2 b)</t>
  </si>
  <si>
    <t>4.3</t>
  </si>
  <si>
    <t>6.2</t>
  </si>
  <si>
    <t>A.5.9</t>
  </si>
  <si>
    <t>A.5.12</t>
  </si>
  <si>
    <t>A.5.13</t>
  </si>
  <si>
    <t>6.1.2 a)</t>
  </si>
  <si>
    <t>8.2</t>
  </si>
  <si>
    <t>8.3</t>
  </si>
  <si>
    <t>9.1</t>
  </si>
  <si>
    <t>9.2</t>
  </si>
  <si>
    <t>9.3</t>
  </si>
  <si>
    <t>10.2</t>
  </si>
  <si>
    <t>4.1 ¶1</t>
  </si>
  <si>
    <t>Core Topic</t>
  </si>
  <si>
    <t>4.2 c)</t>
  </si>
  <si>
    <t>4.3 ¶1</t>
  </si>
  <si>
    <t>4.3 a)</t>
  </si>
  <si>
    <t>4.3 b)</t>
  </si>
  <si>
    <t>4.3 c)</t>
  </si>
  <si>
    <t>4.3 ¶2</t>
  </si>
  <si>
    <t>4.4 ¶1</t>
  </si>
  <si>
    <t>5.1 a)</t>
  </si>
  <si>
    <t>5.1 b)</t>
  </si>
  <si>
    <t>5.1 c)</t>
  </si>
  <si>
    <t>5.1 d)</t>
  </si>
  <si>
    <t>5.1 e)</t>
  </si>
  <si>
    <t>5.1 f)</t>
  </si>
  <si>
    <t>5.1 g)</t>
  </si>
  <si>
    <t>5.1 h)</t>
  </si>
  <si>
    <t>5.2 a)</t>
  </si>
  <si>
    <t>5.2 b)</t>
  </si>
  <si>
    <t>5.2 c)</t>
  </si>
  <si>
    <t>5.2 d)</t>
  </si>
  <si>
    <t>5.2 e)</t>
  </si>
  <si>
    <t>5.2 f)</t>
  </si>
  <si>
    <t>5.2 g)</t>
  </si>
  <si>
    <t>5.3 ¶1</t>
  </si>
  <si>
    <t>5.3 a)</t>
  </si>
  <si>
    <t>5.3 b)</t>
  </si>
  <si>
    <t>6.1.1 a)</t>
  </si>
  <si>
    <t>6.1.1 b)</t>
  </si>
  <si>
    <t>6.1.1 c)</t>
  </si>
  <si>
    <t>6.1.1 d)</t>
  </si>
  <si>
    <t>6.1.1 e) 1)</t>
  </si>
  <si>
    <t>6.1.1 e) 2)</t>
  </si>
  <si>
    <t>6.1.2 a) 1)</t>
  </si>
  <si>
    <t>6.1.2 a) 2)</t>
  </si>
  <si>
    <t>6.1.2 b)</t>
  </si>
  <si>
    <t>6.1.2 c) 1)</t>
  </si>
  <si>
    <t>6.1.2 c) 2)</t>
  </si>
  <si>
    <t>6.1.2 d) 1)</t>
  </si>
  <si>
    <t>6.1.2 d) 2)</t>
  </si>
  <si>
    <t>6.1.2 d) 3)</t>
  </si>
  <si>
    <t>6.1.2 e) 1)</t>
  </si>
  <si>
    <t>6.1.2 e) 2)</t>
  </si>
  <si>
    <t>6.1.2 ¶1</t>
  </si>
  <si>
    <t>6.1.3 a)</t>
  </si>
  <si>
    <t>6.1.3 b)</t>
  </si>
  <si>
    <t>6.1.3 c)</t>
  </si>
  <si>
    <t>6.1.3 d)</t>
  </si>
  <si>
    <t>6.1.3 e)</t>
  </si>
  <si>
    <t>6.1.3 f)</t>
  </si>
  <si>
    <t>6.1.3 ¶1</t>
  </si>
  <si>
    <t>7.2 a)</t>
  </si>
  <si>
    <t>7.2 b)</t>
  </si>
  <si>
    <t>7.2 c)</t>
  </si>
  <si>
    <t>7.2 d)</t>
  </si>
  <si>
    <t>7.3 a)</t>
  </si>
  <si>
    <t>7.3 b)</t>
  </si>
  <si>
    <t>7.3 c)</t>
  </si>
  <si>
    <t>7.4 a)</t>
  </si>
  <si>
    <t>7.4 b)</t>
  </si>
  <si>
    <t>7.4 c)</t>
  </si>
  <si>
    <t>7.4 d)</t>
  </si>
  <si>
    <t>7.5.1 a)</t>
  </si>
  <si>
    <t>7.5.1 b)</t>
  </si>
  <si>
    <t>7.5.2 a)</t>
  </si>
  <si>
    <t>7.5.2 b)</t>
  </si>
  <si>
    <t>7.5.2 c)</t>
  </si>
  <si>
    <t>7.5.3 a)</t>
  </si>
  <si>
    <t>7.5.3 b)</t>
  </si>
  <si>
    <t>7.5.3 c)</t>
  </si>
  <si>
    <t>7.5.3 d)</t>
  </si>
  <si>
    <t>7.5.3 e)</t>
  </si>
  <si>
    <t>7.5.3 f)</t>
  </si>
  <si>
    <t>7.5.3 ¶1</t>
  </si>
  <si>
    <t>8.1 ¶1</t>
  </si>
  <si>
    <t>8.1 ¶2</t>
  </si>
  <si>
    <t>8.1 ¶3</t>
  </si>
  <si>
    <t>8.1 ¶4</t>
  </si>
  <si>
    <t>8.2 ¶1</t>
  </si>
  <si>
    <t>8.2 ¶2</t>
  </si>
  <si>
    <t>8.3 ¶1</t>
  </si>
  <si>
    <t>8.3 ¶2</t>
  </si>
  <si>
    <t>9.1 a)</t>
  </si>
  <si>
    <t>9.2.1 a) 1)</t>
  </si>
  <si>
    <t>9.2.1 a) 2)</t>
  </si>
  <si>
    <t>9.2.1 b)</t>
  </si>
  <si>
    <t>9.2.2 ¶1</t>
  </si>
  <si>
    <t>9.2.2 ¶2</t>
  </si>
  <si>
    <t>9.2.2 a)</t>
  </si>
  <si>
    <t>9.2.2 b)</t>
  </si>
  <si>
    <t>9.2.2 c)</t>
  </si>
  <si>
    <t>9.2.2 ¶3</t>
  </si>
  <si>
    <t>9.3.1 ¶1</t>
  </si>
  <si>
    <t>9.3.2 a)</t>
  </si>
  <si>
    <t>9.3.2 b)</t>
  </si>
  <si>
    <t>9.3.2 c)</t>
  </si>
  <si>
    <t>9.3.2 d) 1)</t>
  </si>
  <si>
    <t>9.3.2 d) 2)</t>
  </si>
  <si>
    <t>9.3.2 d) 3)</t>
  </si>
  <si>
    <t>9.3.2 d) 4)</t>
  </si>
  <si>
    <t>9.3.2 e)</t>
  </si>
  <si>
    <t>9.3.2 f)</t>
  </si>
  <si>
    <t>9.3.2 g)</t>
  </si>
  <si>
    <t>9.3.3 ¶1</t>
  </si>
  <si>
    <t>9.3.3 ¶2</t>
  </si>
  <si>
    <t>10.1 ¶1</t>
  </si>
  <si>
    <t>10.2 a) 1)</t>
  </si>
  <si>
    <t>10.2 a) 2)</t>
  </si>
  <si>
    <t>10.2 b) 1)</t>
  </si>
  <si>
    <t>10.2 b) 2)</t>
  </si>
  <si>
    <t>10.2 b) 3)</t>
  </si>
  <si>
    <t>10.2 c)</t>
  </si>
  <si>
    <t>10.2 d)</t>
  </si>
  <si>
    <t>10.2 e)</t>
  </si>
  <si>
    <t>10.2 ¶1</t>
  </si>
  <si>
    <t>10.2 f)</t>
  </si>
  <si>
    <t>10.2 g)</t>
  </si>
  <si>
    <t>A.5.1</t>
  </si>
  <si>
    <t>Control</t>
  </si>
  <si>
    <t>A.5.2</t>
  </si>
  <si>
    <t>A.5.3</t>
  </si>
  <si>
    <t>A.5.4</t>
  </si>
  <si>
    <t>A.5.5</t>
  </si>
  <si>
    <t>A.5.6</t>
  </si>
  <si>
    <t>A.5.7</t>
  </si>
  <si>
    <t>A.5.8</t>
  </si>
  <si>
    <t>A.5.10</t>
  </si>
  <si>
    <t>A.5.11</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</si>
  <si>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</si>
  <si>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</si>
  <si>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</si>
  <si>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</si>
  <si>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</si>
  <si>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</si>
  <si>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</si>
  <si>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</si>
  <si>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</si>
  <si>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</si>
  <si>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</si>
  <si>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</si>
  <si>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</si>
  <si>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</si>
  <si>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</si>
  <si>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</si>
  <si>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</si>
  <si>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</si>
  <si>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</si>
  <si>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</si>
  <si>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</si>
  <si>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</si>
  <si>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</si>
  <si>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</si>
  <si>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A.6.1</t>
  </si>
  <si>
    <t>A.6.2</t>
  </si>
  <si>
    <t>A.6.3</t>
  </si>
  <si>
    <t>A.6.4</t>
  </si>
  <si>
    <t>A.6.5</t>
  </si>
  <si>
    <t>A.6.6</t>
  </si>
  <si>
    <t>A.6.7</t>
  </si>
  <si>
    <t>A.6.8</t>
  </si>
  <si>
    <t>A.7.1</t>
  </si>
  <si>
    <t>A.7.2</t>
  </si>
  <si>
    <t>A.7.3</t>
  </si>
  <si>
    <t>A.7.4</t>
  </si>
  <si>
    <t>A.7.5</t>
  </si>
  <si>
    <t>A.7.6</t>
  </si>
  <si>
    <t>A.7.7</t>
  </si>
  <si>
    <t>A.7.8</t>
  </si>
  <si>
    <t>A.7.9</t>
  </si>
  <si>
    <t>A.7.10</t>
  </si>
  <si>
    <t>A.7.11</t>
  </si>
  <si>
    <t>A.7.12</t>
  </si>
  <si>
    <t>A.7.13</t>
  </si>
  <si>
    <t>A.7.14</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</si>
  <si>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</si>
  <si>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</si>
  <si>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</si>
  <si>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</si>
  <si>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</si>
  <si>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</si>
  <si>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</si>
  <si>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</si>
  <si>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</si>
  <si>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</si>
  <si>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</si>
  <si>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</si>
  <si>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</si>
  <si>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</si>
  <si>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</si>
  <si>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</si>
  <si>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</si>
  <si>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</si>
  <si>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</si>
  <si>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</si>
  <si>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</si>
  <si>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</si>
  <si>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</si>
  <si>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</si>
  <si>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</si>
  <si>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</si>
  <si>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</si>
  <si>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</si>
  <si>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</si>
  <si>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</si>
  <si>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</si>
  <si>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</si>
  <si>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</si>
  <si>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</si>
  <si>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Description</t>
  </si>
  <si>
    <t>Clause</t>
  </si>
  <si>
    <t>Subclause</t>
  </si>
  <si>
    <t>4.1 Understanding the organization and its context</t>
  </si>
  <si>
    <t>4.2 Understanding the needs and expectations of interested parties</t>
  </si>
  <si>
    <t>4.3 Determining the scope of the information security management system</t>
  </si>
  <si>
    <t>4.4 Information security management system</t>
  </si>
  <si>
    <t>5 Leadership</t>
  </si>
  <si>
    <t>4 Context of the organization</t>
  </si>
  <si>
    <t>6 Planning</t>
  </si>
  <si>
    <t>5.1 Leadership and commitment</t>
  </si>
  <si>
    <t>5.2 Policy</t>
  </si>
  <si>
    <t>5.3 Organizational roles, responsibilities and authorities</t>
  </si>
  <si>
    <t>6.1 Actions to address risks and opportunities</t>
  </si>
  <si>
    <t>6.2 ¶1</t>
  </si>
  <si>
    <t>6.2 a)</t>
  </si>
  <si>
    <t>6.2 b)</t>
  </si>
  <si>
    <t>6.2 c)</t>
  </si>
  <si>
    <t>6.2 d)</t>
  </si>
  <si>
    <t>6.2 e)</t>
  </si>
  <si>
    <t>6.2 f)</t>
  </si>
  <si>
    <t>6.2 g)</t>
  </si>
  <si>
    <t>6.2 ¶2</t>
  </si>
  <si>
    <t>6.2 h)</t>
  </si>
  <si>
    <t>6.2 i)</t>
  </si>
  <si>
    <t>6.2 j)</t>
  </si>
  <si>
    <t>6.2 k)</t>
  </si>
  <si>
    <t>6.2 l)</t>
  </si>
  <si>
    <t>6.3 ¶1</t>
  </si>
  <si>
    <t>7.1 ¶1</t>
  </si>
  <si>
    <t>6.2 Information security objectives and planning to achieve them</t>
  </si>
  <si>
    <t>6.3 Planning of changes</t>
  </si>
  <si>
    <t>7.1 Resources</t>
  </si>
  <si>
    <t>7.2 Competence</t>
  </si>
  <si>
    <t>7.3 Awareness</t>
  </si>
  <si>
    <t>7.4 Communication</t>
  </si>
  <si>
    <t>7.5 Documented information</t>
  </si>
  <si>
    <t>7 Support</t>
  </si>
  <si>
    <t>8 Operations</t>
  </si>
  <si>
    <t>8.1 Operational planning and control</t>
  </si>
  <si>
    <t>8.2 Information security risk assessment</t>
  </si>
  <si>
    <t>8.3 Information security risk treatment</t>
  </si>
  <si>
    <t>9.1 Monitoring, measurement, analysis and evaluation</t>
  </si>
  <si>
    <t>9.1 b)</t>
  </si>
  <si>
    <t>9.1 c)</t>
  </si>
  <si>
    <t>9.1 d)</t>
  </si>
  <si>
    <t>9.1 e)</t>
  </si>
  <si>
    <t>9.1 f)</t>
  </si>
  <si>
    <t>9.1 ¶1</t>
  </si>
  <si>
    <t>9 Performance evaluation</t>
  </si>
  <si>
    <t>9.1 ¶2</t>
  </si>
  <si>
    <t>9.2 Internal audit</t>
  </si>
  <si>
    <t>9.3 Management review</t>
  </si>
  <si>
    <t>10 Improvement</t>
  </si>
  <si>
    <t>10.1 Continual improvement</t>
  </si>
  <si>
    <t>10.2 Nonconformity and corrective action</t>
  </si>
  <si>
    <t>Annex A</t>
  </si>
  <si>
    <t>5 Organizational controls</t>
  </si>
  <si>
    <t>6 People controls</t>
  </si>
  <si>
    <t>7 Physical controls</t>
  </si>
  <si>
    <t>8 Technological controls</t>
  </si>
  <si>
    <t>5.3</t>
  </si>
  <si>
    <t>Due to copyright protection, this resource can not provide you with the actual citations of ISO/IEC 27001:2022. However you can add the text from your personal licensed copy.</t>
  </si>
  <si>
    <t>Normative references</t>
  </si>
  <si>
    <t>Mandatory</t>
  </si>
  <si>
    <t>Requirements of interested parties</t>
  </si>
  <si>
    <t>Scope of the ISMS</t>
  </si>
  <si>
    <t>Identify risk owners</t>
  </si>
  <si>
    <t>7.2</t>
  </si>
  <si>
    <t>4. Information Security Policy</t>
  </si>
  <si>
    <t>5. Competence Assurance</t>
  </si>
  <si>
    <t>7. Risk Management Methodology</t>
  </si>
  <si>
    <t>10. Performance Evaluation</t>
  </si>
  <si>
    <t>11. Improvement</t>
  </si>
  <si>
    <t>12. Certification audit</t>
  </si>
  <si>
    <t>Risk Assessment Criteria</t>
  </si>
  <si>
    <t>Risk Acceptance Criteria</t>
  </si>
  <si>
    <t>Risk Assessment Process</t>
  </si>
  <si>
    <t>Risk Treatment Process</t>
  </si>
  <si>
    <t>Risk Treatment Plan</t>
  </si>
  <si>
    <t>Statement of Applicability (SoA)</t>
  </si>
  <si>
    <t>Audit Programme</t>
  </si>
  <si>
    <t>Evidence of competence</t>
  </si>
  <si>
    <t>Review management reports of the performance of the ISMS</t>
  </si>
  <si>
    <t>Develop information security policy</t>
  </si>
  <si>
    <t>Obtain approval for information security policy</t>
  </si>
  <si>
    <t>Information security policy (5.2, A.5.1.1)</t>
  </si>
  <si>
    <t>Risk treatment plan (8.3)</t>
  </si>
  <si>
    <t>Define information security risk assessment criteria</t>
  </si>
  <si>
    <t>External and internal Issues</t>
  </si>
  <si>
    <t>Information security policy</t>
  </si>
  <si>
    <t>Information security objectives</t>
  </si>
  <si>
    <t>Carrying out of processes as planned</t>
  </si>
  <si>
    <t>Results of information security risk assessments</t>
  </si>
  <si>
    <t>Results of monitoring and measurement</t>
  </si>
  <si>
    <t>Audit Reports</t>
  </si>
  <si>
    <t>Results of management reviews</t>
  </si>
  <si>
    <t>Management Reports</t>
  </si>
  <si>
    <t>Nature of nonconformities and any subsequent actions taken</t>
  </si>
  <si>
    <t>Results of any corrective action</t>
  </si>
  <si>
    <t>Procedures for information labelling</t>
  </si>
  <si>
    <t>Legal, statutory, regulatory and contractual requirements relevant to information security</t>
  </si>
  <si>
    <t xml:space="preserve">Operating procedures for information processing facilities </t>
  </si>
  <si>
    <t xml:space="preserve">Procedures for working in secure areas </t>
  </si>
  <si>
    <t>4.4</t>
  </si>
  <si>
    <t>Procedures for information labelling (A.5.13)</t>
  </si>
  <si>
    <t>Risk assessment criteria, risk acceptance criteria</t>
  </si>
  <si>
    <t>6.1.2, 4.4</t>
  </si>
  <si>
    <t>6.1.3, 4.4</t>
  </si>
  <si>
    <t>Results of information security risk assessments (8.2)</t>
  </si>
  <si>
    <t>Results of information security risk treatment (8.3)</t>
  </si>
  <si>
    <t>Results of monitoring and measurement (9.1)</t>
  </si>
  <si>
    <t>Information and asset inventory (A.5.9)</t>
  </si>
  <si>
    <t>9.2, A.5.35, A.8.34</t>
  </si>
  <si>
    <t>Establish topic-specific policy on information classification</t>
  </si>
  <si>
    <t>Obtain approval for risk treatment plan</t>
  </si>
  <si>
    <t>Obtain approval für residual risk</t>
  </si>
  <si>
    <t>Supplier management process</t>
  </si>
  <si>
    <t>Establish resource management process</t>
  </si>
  <si>
    <t>Establish communication process</t>
  </si>
  <si>
    <t>Establish ISMS change management process</t>
  </si>
  <si>
    <t>4.2 b), A.5.31</t>
  </si>
  <si>
    <t>Topic-specific policy on records management</t>
  </si>
  <si>
    <t>Topic-specific policy on the protection of PII</t>
  </si>
  <si>
    <t>Establish ISMS improvement process</t>
  </si>
  <si>
    <t>Establish internal audit process</t>
  </si>
  <si>
    <t>Establish performance evaluation process</t>
  </si>
  <si>
    <t>Establish information security risk assessment process</t>
  </si>
  <si>
    <t>Establish information security risk treatment process</t>
  </si>
  <si>
    <t>Establish procedures for information labelling</t>
  </si>
  <si>
    <t>7.1, 4.4</t>
  </si>
  <si>
    <t>5.1</t>
  </si>
  <si>
    <t>7.4, 4.4</t>
  </si>
  <si>
    <t>7.5, 4.4, A.5.1</t>
  </si>
  <si>
    <t>External issues (4.1)</t>
  </si>
  <si>
    <t>Internal Issues (4.1)</t>
  </si>
  <si>
    <t>Requirements of interested parties (4.2), Legal, statutory, regulatory and contractual requirements (A.5.31)</t>
  </si>
  <si>
    <t>6. Inventory of Assets</t>
  </si>
  <si>
    <t>8. Information Security Risk Assessment</t>
  </si>
  <si>
    <t>9. Information Security Risk Treatment</t>
  </si>
  <si>
    <t>Develop Risk Treatment Plan</t>
  </si>
  <si>
    <t>Implement Risk Treatment Plan</t>
  </si>
  <si>
    <t>Understand business vision and objectives</t>
  </si>
  <si>
    <t>Results of the risk treatment process</t>
  </si>
  <si>
    <t>Information and asset inventory</t>
  </si>
  <si>
    <t>Topic-specific policy on information classification</t>
  </si>
  <si>
    <t xml:space="preserve">Topic-specific policy on access control </t>
  </si>
  <si>
    <t>Information security incident management process</t>
  </si>
  <si>
    <t>Business Impact Analysis (BIA)</t>
  </si>
  <si>
    <t>ICT continuity plans</t>
  </si>
  <si>
    <t>Procedures for the protection of PII</t>
  </si>
  <si>
    <t>Topic-specific policy on remote working</t>
  </si>
  <si>
    <t>Procedures for authenticating and logging visitors</t>
  </si>
  <si>
    <t>Topic-specific policy on removable storage media</t>
  </si>
  <si>
    <t>Procedures for secure reuse or disposal of removable storage media</t>
  </si>
  <si>
    <t>Procedures for equipment maintenance</t>
  </si>
  <si>
    <t>Procedures for decommissioning of equipment</t>
  </si>
  <si>
    <t>Procedures for configuration management</t>
  </si>
  <si>
    <t>Procedures for information deletion</t>
  </si>
  <si>
    <t>Procedures for monitoring</t>
  </si>
  <si>
    <t>Procedures for software installation</t>
  </si>
  <si>
    <t>Procedures for cryptographic key management</t>
  </si>
  <si>
    <t>5.1, 4.4, 6.2</t>
  </si>
  <si>
    <t>5.2, A.5.1</t>
  </si>
  <si>
    <t>Document and communicate results of management review</t>
  </si>
  <si>
    <t>Establish management review process</t>
  </si>
  <si>
    <t>Prepare management reports</t>
  </si>
  <si>
    <t>Management reports (9.3)</t>
  </si>
  <si>
    <t>Identify roles affecting information security</t>
  </si>
  <si>
    <t>Determine competence and awareness requirements</t>
  </si>
  <si>
    <t>Assess current competence and awareness levels</t>
  </si>
  <si>
    <t>Plan IS awareness programme</t>
  </si>
  <si>
    <t>Plan IS education and training programme</t>
  </si>
  <si>
    <t>Evaluate programme effectiveness</t>
  </si>
  <si>
    <t>Plan for recruitment or outsourcing</t>
  </si>
  <si>
    <t>Information security education and training programme</t>
  </si>
  <si>
    <t>Information security awareness programme</t>
  </si>
  <si>
    <t>Document IS training and awareness results</t>
  </si>
  <si>
    <t>Evidence of competence (7.2), IS awareness,  training, education participation records</t>
  </si>
  <si>
    <t>Communicate roles, responsibilities and authorities for the ISMS</t>
  </si>
  <si>
    <t>Implement corrective actions</t>
  </si>
  <si>
    <t>Document nonconformities</t>
  </si>
  <si>
    <t>7.2, A.6.3</t>
  </si>
  <si>
    <t>7.2, 7.3</t>
  </si>
  <si>
    <t>7.3</t>
  </si>
  <si>
    <t>7.2, 7.3, A.6.3</t>
  </si>
  <si>
    <t>Review of access rights records</t>
  </si>
  <si>
    <t>Develop project charter</t>
  </si>
  <si>
    <t>Obtain approval for project charter</t>
  </si>
  <si>
    <t>Purchase ISO/IEC 27001:2022</t>
  </si>
  <si>
    <t>3. Gap Analysis</t>
  </si>
  <si>
    <t>2. Scope of the ISMS</t>
  </si>
  <si>
    <t>ISMS scope is approved</t>
  </si>
  <si>
    <t>Assign overall responsibility for the ISMS</t>
  </si>
  <si>
    <t>Define desired state</t>
  </si>
  <si>
    <t>Analyze current state</t>
  </si>
  <si>
    <t>Compare current state with desired state</t>
  </si>
  <si>
    <t>Identify gaps</t>
  </si>
  <si>
    <t>Produce gap analysis report</t>
  </si>
  <si>
    <t>Establish information secuity governance process</t>
  </si>
  <si>
    <t>ISMS Operations</t>
  </si>
  <si>
    <t>Operate ISMS processes</t>
  </si>
  <si>
    <t>Manage outsourced functions</t>
  </si>
  <si>
    <t>Control ISMS processes</t>
  </si>
  <si>
    <t>8.1</t>
  </si>
  <si>
    <t>Carrying out of processes as planned (8.1)</t>
  </si>
  <si>
    <t>Update project plan</t>
  </si>
  <si>
    <t>Establish context analysis process</t>
  </si>
  <si>
    <t>Establish security awareness and training process</t>
  </si>
  <si>
    <t>Establish topic-specific policy on asset and configuration management</t>
  </si>
  <si>
    <t>Publish topic-specific policy on asset and configuration management</t>
  </si>
  <si>
    <t>Topic-specific policy on asset and configuration management</t>
  </si>
  <si>
    <t>Establish topic-specific policy on risk management</t>
  </si>
  <si>
    <t>Publish topic-specific policy on risk management</t>
  </si>
  <si>
    <t>Topic-specific policy on risk management</t>
  </si>
  <si>
    <t>Document results of risk assessments</t>
  </si>
  <si>
    <t>Establish a topic-specific policy on audit and assessment</t>
  </si>
  <si>
    <t>Publish a topic-specific policy on audit and assessment</t>
  </si>
  <si>
    <t>Topic-specific policy on audit and assessment</t>
  </si>
  <si>
    <t>Dpcument and map primary and supporting assets.</t>
  </si>
  <si>
    <t>Identify and assign asset owners</t>
  </si>
  <si>
    <t>Data erasure and disposal certificates</t>
  </si>
  <si>
    <t>Role definitions and job descriptions</t>
  </si>
  <si>
    <t>Threat intelligence</t>
  </si>
  <si>
    <t>Project documentation</t>
  </si>
  <si>
    <t>Access control rules</t>
  </si>
  <si>
    <t>Topic-specific policy on identification and authentication</t>
  </si>
  <si>
    <t>Topic-specific policy on information security incident management</t>
  </si>
  <si>
    <t>Information security incident management plans</t>
  </si>
  <si>
    <t>Information security incident records</t>
  </si>
  <si>
    <t>Topic-specific policy on business continuity</t>
  </si>
  <si>
    <t>Obtain approval for business case</t>
  </si>
  <si>
    <t>Obtain approval for final scope</t>
  </si>
  <si>
    <t>Conduct IS training and awareness measures</t>
  </si>
  <si>
    <t>Topic-specific policy on personnel security</t>
  </si>
  <si>
    <t>Capacity requirements</t>
  </si>
  <si>
    <t>Procedures for capacity management</t>
  </si>
  <si>
    <t>Register of relevant authorities</t>
  </si>
  <si>
    <t>Policy</t>
  </si>
  <si>
    <t>Name</t>
  </si>
  <si>
    <t>Category</t>
  </si>
  <si>
    <t>Citations</t>
  </si>
  <si>
    <t>5.2 e),5.2 f),5.2 g),A.5.1</t>
  </si>
  <si>
    <t>Topic-specific policy on system development</t>
  </si>
  <si>
    <t>Topic-specific policy</t>
  </si>
  <si>
    <t>Additional</t>
  </si>
  <si>
    <t>A.8.25,A.8.26,A.8.27,A.8.28,A.8.29,A.8.30</t>
  </si>
  <si>
    <t>Topic-specific policy on system security</t>
  </si>
  <si>
    <t>A.8.20,A.8.24</t>
  </si>
  <si>
    <t>A.5.29,A.8.13</t>
  </si>
  <si>
    <t>Topic-specific policy on information handling</t>
  </si>
  <si>
    <t>A.7.7,A.5.10,A.5.14</t>
  </si>
  <si>
    <t>A.5.17,A.5.16</t>
  </si>
  <si>
    <t>Topic-specific policy on supply chain risk management</t>
  </si>
  <si>
    <t>A.5.19,A.5.23</t>
  </si>
  <si>
    <t>A.8.15,A.5.33</t>
  </si>
  <si>
    <t>9.2.2 ¶1,9.2.2 ¶2,9.2.2 a),9.2.2 b)</t>
  </si>
  <si>
    <t>Topic-specific policy on physical and environmental security</t>
  </si>
  <si>
    <t>A.7.1,A.7.2,A.7.3,A.7.4,A.7.5,A.7.6,A.7.8,A.7.9,A.7.12</t>
  </si>
  <si>
    <t>Topic-specific policy on equipment maintenance</t>
  </si>
  <si>
    <t>Procedures for handling information</t>
  </si>
  <si>
    <t>Procedure</t>
  </si>
  <si>
    <t>Procedures for termination or change of employment</t>
  </si>
  <si>
    <t>Procedure for authentication information allocation and management</t>
  </si>
  <si>
    <t>Procedure for access rights review</t>
  </si>
  <si>
    <t xml:space="preserve">Procedure for provisioning and revocation of access rights </t>
  </si>
  <si>
    <t>Procedure for information security incident management</t>
  </si>
  <si>
    <t>Procedures for intellectual property rights compliance</t>
  </si>
  <si>
    <t>Procedures for personnel screening</t>
  </si>
  <si>
    <t>Procedures for disciplinary actions</t>
  </si>
  <si>
    <t>Procedures for reporting information security events</t>
  </si>
  <si>
    <t>Procedures for monitoring physical premises</t>
  </si>
  <si>
    <t>A.7.10,A.7.10</t>
  </si>
  <si>
    <t>Procedure for technical vulnerability management</t>
  </si>
  <si>
    <t>Procedures for change control</t>
  </si>
  <si>
    <t>Information Security Governance Process</t>
  </si>
  <si>
    <t>Process</t>
  </si>
  <si>
    <t>Resource Management Process</t>
  </si>
  <si>
    <t>4.4 ¶1,7.1 ¶1</t>
  </si>
  <si>
    <t>Communication Process</t>
  </si>
  <si>
    <t>4.4 ¶1,7.4 a),7.4 b),7.4 c),7.4 d)</t>
  </si>
  <si>
    <t>Performance Evaluation Process</t>
  </si>
  <si>
    <t>ISMS Change Management Process</t>
  </si>
  <si>
    <t>Control Implementation Process</t>
  </si>
  <si>
    <t>Management Review Process</t>
  </si>
  <si>
    <t>Internal Audit Process</t>
  </si>
  <si>
    <t>Security Awareness and Training Process</t>
  </si>
  <si>
    <t>ISMS Improvement process</t>
  </si>
  <si>
    <t>Context Analysis Process</t>
  </si>
  <si>
    <t>Customer Relationship Management Process</t>
  </si>
  <si>
    <t>Security Policy Management Process</t>
  </si>
  <si>
    <t>4.4 ¶1,A.5.1,7.5.1 a),7.5.1 b),7.5.2 a),7.5.2 b),7.5.2 c),7.5.3 a),7.5.3 b),7.5.3 c),7.5.3 d),7.5.3 e),7.5.3 f),7.5.3 ¶1</t>
  </si>
  <si>
    <t>Records Control Process</t>
  </si>
  <si>
    <t>4.4 ¶1,6.1.2 b),6.1.2 c) 1),6.1.2 c) 2),6.1.2 d) 1),6.1.2 d) 2),6.1.2 d) 3),6.1.2 e) 1),6.1.2 e) 2),6.1.2 ¶1</t>
  </si>
  <si>
    <t>4.4 ¶1,6.1.3 a),6.1.3 b),6.1.3 c),6.1.3 d),6.1.3 e),6.1.3 f),6.1.3 ¶1</t>
  </si>
  <si>
    <t>Project Charter</t>
  </si>
  <si>
    <t>Record</t>
  </si>
  <si>
    <t>Business Case</t>
  </si>
  <si>
    <t>Gap analysis report</t>
  </si>
  <si>
    <t>4.1 ¶1,4.1 ¶1</t>
  </si>
  <si>
    <t>4.2 c),A.5.31,4.2 b)</t>
  </si>
  <si>
    <t>6.2 ¶1,6.2 a),6.2 b),6.2 c),6.2 d),6.2 e),6.2 f),6.2 g),6.2 ¶2,6.2 h),6.2 i),6.2 j),6.2 k),6.2 l)</t>
  </si>
  <si>
    <t>7.2 d),A.6.3</t>
  </si>
  <si>
    <t>Communication Plan</t>
  </si>
  <si>
    <t>8.1 ¶1,8.1 ¶2,8.1 ¶3</t>
  </si>
  <si>
    <t>8.2 ¶2,A.7.5,A.7.8</t>
  </si>
  <si>
    <t>9.2.2 ¶3,9.2.2 c)</t>
  </si>
  <si>
    <t>9.3.2 a),9.3.2 b),9.3.2 c),9.3.2 d) 1),9.3.2 d) 2),9.3.2 d) 3),9.3.2 d) 4),9.3.2 e),9.3.2 f),9.3.2 g)</t>
  </si>
  <si>
    <t>9.3.3 ¶1,9.3.3 ¶2</t>
  </si>
  <si>
    <t>10.2 f),10.2 g)</t>
  </si>
  <si>
    <t>Policy acknowledgement records</t>
  </si>
  <si>
    <t>Organizational charts</t>
  </si>
  <si>
    <t>5.3 ¶1,5.3 a),5.3 b)</t>
  </si>
  <si>
    <t>A.5.2,A.5.3</t>
  </si>
  <si>
    <t>A.5.9,A.7.9</t>
  </si>
  <si>
    <t>Return of assets records</t>
  </si>
  <si>
    <t>Identity management records</t>
  </si>
  <si>
    <t>Authentication information</t>
  </si>
  <si>
    <t>Access rights records</t>
  </si>
  <si>
    <t>Supplier evaluation and selection records</t>
  </si>
  <si>
    <t>A.5.19,A.5.21,A.5.23</t>
  </si>
  <si>
    <t>Supplier agreements</t>
  </si>
  <si>
    <t>Service Level Agreements (SLAs)</t>
  </si>
  <si>
    <t>Supplier monitoring and review records</t>
  </si>
  <si>
    <t>A.5.25,A.5.26</t>
  </si>
  <si>
    <t>Evidence related to information security events</t>
  </si>
  <si>
    <t>A.5.25,A.5.28</t>
  </si>
  <si>
    <t>Business Continuity Plan (BCP)</t>
  </si>
  <si>
    <t>BCP test records</t>
  </si>
  <si>
    <t>4.2 c),A.5.31,4.2 b),A.5.31</t>
  </si>
  <si>
    <t>Personnel screening records</t>
  </si>
  <si>
    <t>Employment contractual agreements</t>
  </si>
  <si>
    <t>A.6.2,A.6.5</t>
  </si>
  <si>
    <t>7.2 b),A.6.3</t>
  </si>
  <si>
    <t xml:space="preserve">Information security awareness programme </t>
  </si>
  <si>
    <t>7.2 b),7.3 a),7.3 b),7.3 c),A.6.3</t>
  </si>
  <si>
    <t>Information security awareness, training and education participation records</t>
  </si>
  <si>
    <t>Disciplinary action records</t>
  </si>
  <si>
    <t>Non-disclosure agreement templates</t>
  </si>
  <si>
    <t>Signed non-disclosure agreements</t>
  </si>
  <si>
    <t>Site and floor plans</t>
  </si>
  <si>
    <t>A.7.1,A.7.3,A.7.12</t>
  </si>
  <si>
    <t>Visitor management logs</t>
  </si>
  <si>
    <t>Physical access logs</t>
  </si>
  <si>
    <t>Surveillance footage</t>
  </si>
  <si>
    <t>Equipment inventory</t>
  </si>
  <si>
    <t>Media usage logs</t>
  </si>
  <si>
    <t>A.7.10,A.7.14,A.7.10</t>
  </si>
  <si>
    <t>Utilities inventory</t>
  </si>
  <si>
    <t>Equipment maintenance programme</t>
  </si>
  <si>
    <t>Equipment maintenance records</t>
  </si>
  <si>
    <t>List of authorized maintenance personnel</t>
  </si>
  <si>
    <t>Equipment verification records</t>
  </si>
  <si>
    <t>System access logs</t>
  </si>
  <si>
    <t>Results of vulnerability assessments or penetration tests</t>
  </si>
  <si>
    <t>Standard configuration templates</t>
  </si>
  <si>
    <t>Configuration logs</t>
  </si>
  <si>
    <t>Results of deletion</t>
  </si>
  <si>
    <t>Backup plans</t>
  </si>
  <si>
    <t>Results of backup media tests</t>
  </si>
  <si>
    <t>Network plans</t>
  </si>
  <si>
    <t>A.8.20,A.7.12</t>
  </si>
  <si>
    <t>List of prohibited websites and domains</t>
  </si>
  <si>
    <t>6.1</t>
  </si>
  <si>
    <t>Determine which requirements are addressed through the ISMS</t>
  </si>
  <si>
    <t>5.2</t>
  </si>
  <si>
    <t>Implement risk treatment plan</t>
  </si>
  <si>
    <t>Review external environment</t>
  </si>
  <si>
    <t>Review internal aspects</t>
  </si>
  <si>
    <t>Establish policy management process</t>
  </si>
  <si>
    <t>Label information</t>
  </si>
  <si>
    <t>Classify information</t>
  </si>
  <si>
    <t>Obtain approval for information security risk acceptance criteria</t>
  </si>
  <si>
    <t>Submit corrective action plan</t>
  </si>
  <si>
    <t>Columna de entrada</t>
  </si>
  <si>
    <t>Columna calculada</t>
  </si>
  <si>
    <t>Tipo</t>
  </si>
  <si>
    <t>Tarea</t>
  </si>
  <si>
    <t>Cesionario</t>
  </si>
  <si>
    <t>Duración</t>
  </si>
  <si>
    <t>Inicio</t>
  </si>
  <si>
    <t>Acabado</t>
  </si>
  <si>
    <t>Referencia</t>
  </si>
  <si>
    <t>Entregable</t>
  </si>
  <si>
    <t>Información sobre el proyecto</t>
  </si>
  <si>
    <t>Nombre del proyecto:</t>
  </si>
  <si>
    <t>Jefe de proyecto:</t>
  </si>
  <si>
    <t>Fecha de inicio:</t>
  </si>
  <si>
    <t>Fecha de finalización:</t>
  </si>
  <si>
    <t>Proyecto de implantación de ISO/IEC 27001</t>
  </si>
  <si>
    <t>Editor: Aron Lange
© 2025 Aron Lange, Germany
https://grclab.com</t>
  </si>
  <si>
    <t>Plan de proyecto ISO/IEC 27001</t>
  </si>
  <si>
    <t>Esta plantilla proporciona orientación sobre cómo implantar un SGSI conforme a la norma ISO/IEC 27001.
Al adquirir este archivo, usted se compromete a mantener la confidencialidad de su contenido y a no compartirlo, distribuirlo ni divulgarlo a terceros sin el permiso expreso y por escrito de Aron Lange. Cualquier distribución o divulgación no autorizada de este archivo puede dar lugar a acciones legales en su contra.
La información contenida en este archivo tiene únicamente fines de información general. La información es proporcionada por Aron Lange y, si bien nos esforzamos por mantener la información actualizada y correcta, no hacemos representaciones o garantías de ningún tipo, expresa o implícita, acerca de la integridad, exactitud, fiabilidad, adecuación o disponibilidad con respecto al archivo o la información, productos, servicios o gráficos relacionados contenidos en el archivo para cualquier propósito. Por lo tanto, cualquier confianza que usted deposite en dicha información será estrictamente por su cuenta y riesgo. En ningún caso seremos responsables de cualquier pérdida o daño, incluidos, entre otros, pérdidas o daños indirectos o consecuentes, o cualquier pérdida o daño derivado de la pérdida de datos o beneficios que se deriven del uso de este archivo o estén relacionados con él.</t>
  </si>
  <si>
    <t>Etiquetas de fila</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</si>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</sst>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0"/>
      <color theme="0"/>
      <name val="Calibri"/>
      <family val="2"/>
      <scheme val="minor"/>
    </font>
    <font>
      <sz val="12"/>
      <color theme="0"/>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sz val="10"/>
      <name val="Arial"/>
      <family val="2"/>
    </font>
    <font>
      <b/>
      <sz val="20"/>
      <color theme="0"/>
      <name val="Calibri"/>
      <family val="2"/>
      <scheme val="minor"/>
    </font>
    <font>
      <b/>
      <sz val="12"/>
      <color theme="0"/>
      <name val="Calibri"/>
      <family val="2"/>
      <scheme val="minor"/>
    </font>
    <font>
      <sz val="11"/>
      <color theme="0" tint="-0.499984740745262"/>
      <name val="Calibri"/>
      <family val="2"/>
      <scheme val="minor"/>
    </font>
    <font>
      <sz val="12"/>
      <color theme="9" tint="-0.499984740745262"/>
      <name val="Calibri"/>
      <family val="2"/>
      <scheme val="minor"/>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1" tint="4.9989318521683403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rgb="FFFF0000"/>
        <bgColor indexed="64"/>
      </patternFill>
    </fill>
    <fill>
      <patternFill patternType="solid">
        <fgColor rgb="FF0A2DC2"/>
        <bgColor indexed="64"/>
      </patternFill>
    </fill>
    <fill>
      <patternFill patternType="solid">
        <fgColor rgb="FF7790F8"/>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top/>
      <bottom/>
      <diagonal/>
    </border>
    <border>
      <left style="thin">
        <color theme="0" tint="-0.14996795556505021"/>
      </left>
      <right/>
      <top/>
      <bottom/>
      <diagonal/>
    </border>
    <border>
      <left/>
      <right style="thin">
        <color theme="0" tint="-0.1499679555650502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0" tint="-0.24994659260841701"/>
      </left>
      <right/>
      <top/>
      <bottom style="thin">
        <color theme="0" tint="-4.9989318521683403E-2"/>
      </bottom>
      <diagonal/>
    </border>
    <border>
      <left style="thin">
        <color theme="0" tint="-0.24994659260841701"/>
      </left>
      <right style="thin">
        <color theme="0" tint="-0.24994659260841701"/>
      </right>
      <top/>
      <bottom style="thin">
        <color theme="0" tint="-4.9989318521683403E-2"/>
      </bottom>
      <diagonal/>
    </border>
    <border>
      <left/>
      <right/>
      <top/>
      <bottom style="thin">
        <color theme="0" tint="-4.9989318521683403E-2"/>
      </bottom>
      <diagonal/>
    </border>
    <border>
      <left style="thin">
        <color theme="0" tint="-0.499984740745262"/>
      </left>
      <right/>
      <top/>
      <bottom style="thin">
        <color theme="0" tint="-4.9989318521683403E-2"/>
      </bottom>
      <diagonal/>
    </border>
    <border>
      <left style="thin">
        <color theme="0" tint="-0.24994659260841701"/>
      </left>
      <right style="thin">
        <color theme="0" tint="-0.24994659260841701"/>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n">
        <color theme="0" tint="-0.499984740745262"/>
      </left>
      <right/>
      <top style="thin">
        <color theme="0" tint="-4.9989318521683403E-2"/>
      </top>
      <bottom style="thin">
        <color theme="0" tint="-4.9989318521683403E-2"/>
      </bottom>
      <diagonal/>
    </border>
    <border>
      <left/>
      <right style="thin">
        <color theme="0" tint="-0.24994659260841701"/>
      </right>
      <top/>
      <bottom style="thin">
        <color theme="0" tint="-4.9989318521683403E-2"/>
      </bottom>
      <diagonal/>
    </border>
    <border>
      <left/>
      <right style="thin">
        <color theme="0" tint="-0.24994659260841701"/>
      </right>
      <top/>
      <bottom/>
      <diagonal/>
    </border>
    <border>
      <left/>
      <right style="thin">
        <color theme="0" tint="-0.24994659260841701"/>
      </right>
      <top style="thin">
        <color theme="0" tint="-4.9989318521683403E-2"/>
      </top>
      <bottom style="thin">
        <color theme="0" tint="-4.9989318521683403E-2"/>
      </bottom>
      <diagonal/>
    </border>
    <border>
      <left style="thin">
        <color theme="0" tint="-0.24994659260841701"/>
      </left>
      <right/>
      <top style="thin">
        <color theme="0" tint="-4.9989318521683403E-2"/>
      </top>
      <bottom style="thin">
        <color theme="0" tint="-4.9989318521683403E-2"/>
      </bottom>
      <diagonal/>
    </border>
    <border>
      <left style="thin">
        <color theme="0" tint="-0.14996795556505021"/>
      </left>
      <right style="thin">
        <color theme="0" tint="-0.14993743705557422"/>
      </right>
      <top/>
      <bottom/>
      <diagonal/>
    </border>
    <border>
      <left style="thin">
        <color theme="0" tint="-0.14993743705557422"/>
      </left>
      <right style="thin">
        <color theme="0" tint="-0.14993743705557422"/>
      </right>
      <top/>
      <bottom/>
      <diagonal/>
    </border>
    <border>
      <left style="thin">
        <color theme="0" tint="-0.14993743705557422"/>
      </left>
      <right style="thin">
        <color theme="0" tint="-0.14996795556505021"/>
      </right>
      <top/>
      <bottom/>
      <diagonal/>
    </border>
  </borders>
  <cellStyleXfs count="2">
    <xf numFmtId="0" fontId="0" fillId="0" borderId="0"/>
    <xf numFmtId="9" fontId="1"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15" fontId="3" fillId="0" borderId="0" xfId="0" applyNumberFormat="1" applyFont="1" applyAlignment="1">
      <alignment horizontal="center" vertical="center" textRotation="90"/>
    </xf>
    <xf numFmtId="0" fontId="3" fillId="0" borderId="0" xfId="0" applyFont="1" applyAlignment="1">
      <alignment horizontal="center" vertical="center"/>
    </xf>
    <xf numFmtId="0" fontId="3" fillId="0" borderId="0" xfId="0" applyFont="1" applyAlignment="1">
      <alignment vertical="center"/>
    </xf>
    <xf numFmtId="15" fontId="3" fillId="0" borderId="2" xfId="0" applyNumberFormat="1" applyFont="1" applyBorder="1" applyAlignment="1">
      <alignment horizontal="center" vertical="center" textRotation="90"/>
    </xf>
    <xf numFmtId="0" fontId="3" fillId="0" borderId="2" xfId="0" applyFont="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15" fontId="6" fillId="0" borderId="0" xfId="0" applyNumberFormat="1" applyFont="1" applyAlignment="1">
      <alignment horizontal="left" vertical="center" indent="1"/>
    </xf>
    <xf numFmtId="0" fontId="7" fillId="0" borderId="0" xfId="0" applyFont="1" applyAlignment="1">
      <alignment horizontal="left" vertical="center" indent="1"/>
    </xf>
    <xf numFmtId="0" fontId="8" fillId="0" borderId="0" xfId="0" applyFont="1" applyAlignment="1">
      <alignment horizontal="left" vertical="center"/>
    </xf>
    <xf numFmtId="0" fontId="9" fillId="2" borderId="0" xfId="0" applyFont="1" applyFill="1" applyAlignment="1">
      <alignment horizontal="left" vertical="top" wrapText="1"/>
    </xf>
    <xf numFmtId="0" fontId="0" fillId="3" borderId="0" xfId="0" applyFill="1" applyAlignment="1">
      <alignment vertical="center"/>
    </xf>
    <xf numFmtId="0" fontId="0" fillId="3" borderId="0" xfId="0" applyFill="1" applyAlignment="1">
      <alignment horizontal="center" vertical="center"/>
    </xf>
    <xf numFmtId="0" fontId="10" fillId="3" borderId="0" xfId="0" applyFont="1" applyFill="1" applyAlignment="1">
      <alignment horizontal="left" vertical="center"/>
    </xf>
    <xf numFmtId="0" fontId="4" fillId="3" borderId="2" xfId="0" applyFont="1" applyFill="1" applyBorder="1" applyAlignment="1">
      <alignment horizontal="center" vertical="center"/>
    </xf>
    <xf numFmtId="0" fontId="4" fillId="3" borderId="0" xfId="0" applyFont="1" applyFill="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15" fontId="3" fillId="0" borderId="3" xfId="0" applyNumberFormat="1" applyFont="1" applyBorder="1" applyAlignment="1">
      <alignment horizontal="center" vertical="center" textRotation="90"/>
    </xf>
    <xf numFmtId="15" fontId="3" fillId="0" borderId="4" xfId="0" applyNumberFormat="1" applyFont="1" applyBorder="1" applyAlignment="1">
      <alignment horizontal="center" vertical="center" textRotation="90"/>
    </xf>
    <xf numFmtId="0" fontId="2" fillId="0" borderId="5" xfId="0" applyFon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0" borderId="9" xfId="0" applyFont="1" applyBorder="1" applyAlignment="1">
      <alignment vertical="center"/>
    </xf>
    <xf numFmtId="15" fontId="0" fillId="0" borderId="9" xfId="0" applyNumberFormat="1" applyBorder="1" applyAlignment="1">
      <alignment horizontal="center"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vertical="center"/>
    </xf>
    <xf numFmtId="15" fontId="0" fillId="0" borderId="12" xfId="0" applyNumberFormat="1" applyBorder="1" applyAlignment="1">
      <alignment horizontal="center" vertical="center"/>
    </xf>
    <xf numFmtId="0" fontId="0" fillId="0" borderId="13" xfId="0" applyBorder="1" applyAlignment="1">
      <alignment vertical="center"/>
    </xf>
    <xf numFmtId="0" fontId="2" fillId="0" borderId="12" xfId="0" applyFont="1" applyBorder="1" applyAlignment="1">
      <alignment vertical="center"/>
    </xf>
    <xf numFmtId="0" fontId="2" fillId="0" borderId="15" xfId="0" applyFont="1" applyBorder="1" applyAlignment="1">
      <alignment vertical="center"/>
    </xf>
    <xf numFmtId="0" fontId="2" fillId="0" borderId="14" xfId="0" applyFont="1" applyBorder="1" applyAlignment="1">
      <alignment vertical="center"/>
    </xf>
    <xf numFmtId="0" fontId="0" fillId="0" borderId="16" xfId="0" applyBorder="1" applyAlignment="1">
      <alignment vertical="center"/>
    </xf>
    <xf numFmtId="0" fontId="2" fillId="0" borderId="16" xfId="0" applyFont="1" applyBorder="1" applyAlignment="1">
      <alignment vertical="center"/>
    </xf>
    <xf numFmtId="0" fontId="2" fillId="0" borderId="6" xfId="0" applyFont="1" applyBorder="1" applyAlignment="1">
      <alignment horizontal="center" vertical="center"/>
    </xf>
    <xf numFmtId="9" fontId="0" fillId="0" borderId="7" xfId="1" applyFont="1" applyBorder="1" applyAlignment="1">
      <alignment horizontal="center" vertical="center"/>
    </xf>
    <xf numFmtId="9" fontId="0" fillId="0" borderId="17" xfId="1" applyFont="1" applyBorder="1" applyAlignment="1">
      <alignment horizontal="center" vertical="center"/>
    </xf>
    <xf numFmtId="0" fontId="0" fillId="0" borderId="0" xfId="0" applyAlignment="1">
      <alignment horizontal="left" vertical="center"/>
    </xf>
    <xf numFmtId="49" fontId="0" fillId="0" borderId="9" xfId="1" applyNumberFormat="1" applyFont="1" applyBorder="1" applyAlignment="1">
      <alignment horizontal="center" vertical="center"/>
    </xf>
    <xf numFmtId="49" fontId="0" fillId="0" borderId="12" xfId="1" applyNumberFormat="1" applyFont="1" applyBorder="1" applyAlignment="1">
      <alignment horizontal="center" vertical="center"/>
    </xf>
    <xf numFmtId="49" fontId="1" fillId="0" borderId="12" xfId="1" applyNumberFormat="1" applyFont="1" applyBorder="1" applyAlignment="1">
      <alignment horizontal="center" vertical="center"/>
    </xf>
    <xf numFmtId="16" fontId="0" fillId="0" borderId="0" xfId="0" applyNumberFormat="1" applyAlignment="1">
      <alignment vertical="center"/>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6" borderId="0" xfId="0" applyFill="1"/>
    <xf numFmtId="0" fontId="10" fillId="6" borderId="0" xfId="0" applyFont="1" applyFill="1"/>
    <xf numFmtId="0" fontId="10" fillId="3" borderId="0" xfId="0" applyFont="1" applyFill="1" applyAlignment="1">
      <alignment vertical="center"/>
    </xf>
    <xf numFmtId="0" fontId="0" fillId="7" borderId="0" xfId="0" applyFill="1" applyAlignment="1">
      <alignment vertical="center" wrapText="1"/>
    </xf>
    <xf numFmtId="0" fontId="0" fillId="0" borderId="12" xfId="0" applyBorder="1" applyAlignment="1">
      <alignment vertical="center" wrapText="1"/>
    </xf>
    <xf numFmtId="0" fontId="11" fillId="8" borderId="5" xfId="0" applyFont="1" applyFill="1" applyBorder="1" applyAlignment="1">
      <alignment horizontal="center" vertical="center"/>
    </xf>
    <xf numFmtId="0" fontId="11" fillId="8" borderId="0" xfId="0" applyFont="1" applyFill="1" applyAlignment="1">
      <alignment horizontal="center" vertical="center"/>
    </xf>
    <xf numFmtId="0" fontId="11" fillId="8" borderId="0" xfId="0" applyFont="1" applyFill="1" applyAlignment="1">
      <alignment vertical="center"/>
    </xf>
    <xf numFmtId="0" fontId="11" fillId="9" borderId="0" xfId="0" applyFont="1" applyFill="1" applyAlignment="1">
      <alignment horizontal="center" vertical="center"/>
    </xf>
    <xf numFmtId="0" fontId="11" fillId="9" borderId="15" xfId="0" applyFont="1" applyFill="1" applyBorder="1" applyAlignment="1">
      <alignment horizontal="center" vertical="center"/>
    </xf>
    <xf numFmtId="0" fontId="11" fillId="9" borderId="0" xfId="0" applyFont="1" applyFill="1" applyAlignment="1">
      <alignment vertical="center"/>
    </xf>
    <xf numFmtId="0" fontId="6" fillId="0" borderId="1" xfId="0" applyFont="1" applyBorder="1" applyAlignment="1">
      <alignment horizontal="left" vertical="center" indent="1"/>
    </xf>
    <xf numFmtId="15" fontId="6" fillId="0" borderId="1" xfId="0" applyNumberFormat="1" applyFont="1" applyBorder="1" applyAlignment="1">
      <alignment horizontal="left" vertical="center" indent="1"/>
    </xf>
    <xf numFmtId="15" fontId="12" fillId="4" borderId="1" xfId="0" applyNumberFormat="1" applyFont="1" applyFill="1" applyBorder="1" applyAlignment="1">
      <alignment horizontal="left" vertical="center" indent="1"/>
    </xf>
    <xf numFmtId="0" fontId="10" fillId="3" borderId="0" xfId="0" applyFont="1" applyFill="1" applyAlignment="1">
      <alignment horizontal="left" vertical="center"/>
    </xf>
    <xf numFmtId="0" fontId="13" fillId="5" borderId="19"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0" xfId="0" applyFont="1" applyFill="1" applyAlignment="1">
      <alignment horizontal="center" vertical="center"/>
    </xf>
    <xf numFmtId="0" fontId="13" fillId="5" borderId="4" xfId="0" applyFont="1" applyFill="1" applyBorder="1" applyAlignment="1">
      <alignment horizontal="center" vertical="center"/>
    </xf>
    <xf numFmtId="0" fontId="13" fillId="5" borderId="18" xfId="0" applyFont="1" applyFill="1" applyBorder="1" applyAlignment="1">
      <alignment horizontal="center" vertical="center"/>
    </xf>
    <xf numFmtId="0" fontId="0" fillId="0" borderId="0" xfId="0" applyAlignment="1">
      <alignment horizontal="left" indent="2"/>
    </xf>
  </cellXfs>
  <cellStyles count="2">
    <cellStyle name="Normal" xfId="0" builtinId="0"/>
    <cellStyle name="Porcentaje" xfId="1" builtinId="5"/>
  </cellStyles>
  <dxfs count="24">
    <dxf>
      <fill>
        <patternFill>
          <bgColor rgb="FFF282FC"/>
        </patternFill>
      </fill>
    </dxf>
    <dxf>
      <fill>
        <patternFill>
          <bgColor rgb="FFA905B7"/>
        </patternFill>
      </fill>
    </dxf>
    <dxf>
      <border>
        <left style="thin">
          <color theme="1"/>
        </left>
        <vertical/>
        <horizontal/>
      </border>
    </dxf>
    <dxf>
      <fill>
        <patternFill>
          <bgColor theme="0" tint="-4.9989318521683403E-2"/>
        </patternFill>
      </fill>
    </dxf>
    <dxf>
      <font>
        <color theme="0"/>
      </font>
      <fill>
        <patternFill>
          <bgColor rgb="FF1D46F3"/>
        </patternFill>
      </fill>
    </dxf>
    <dxf>
      <numFmt numFmtId="164" formatCode="\ \ @"/>
      <fill>
        <patternFill>
          <bgColor theme="0" tint="-0.24994659260841701"/>
        </patternFill>
      </fill>
      <border>
        <top style="thin">
          <color theme="0" tint="-0.24994659260841701"/>
        </top>
        <bottom style="thin">
          <color theme="0" tint="-0.24994659260841701"/>
        </bottom>
      </border>
    </dxf>
    <dxf>
      <fill>
        <patternFill>
          <bgColor theme="0" tint="-0.34998626667073579"/>
        </patternFill>
      </fill>
      <border>
        <top style="thin">
          <color theme="0" tint="-0.34998626667073579"/>
        </top>
        <bottom style="thin">
          <color theme="0" tint="-0.34998626667073579"/>
        </bottom>
      </border>
    </dxf>
    <dxf>
      <font>
        <b/>
        <i val="0"/>
      </font>
      <border>
        <top style="thin">
          <color theme="0" tint="-0.24994659260841701"/>
        </top>
        <bottom style="thin">
          <color theme="0" tint="-0.24994659260841701"/>
        </bottom>
        <vertical/>
        <horizontal/>
      </border>
    </dxf>
    <dxf>
      <font>
        <color rgb="FF9C0006"/>
      </font>
      <fill>
        <patternFill>
          <bgColor rgb="FFFFC7CE"/>
        </patternFill>
      </fill>
    </dxf>
    <dxf>
      <font>
        <color rgb="FF9C5700"/>
      </font>
      <fill>
        <patternFill>
          <bgColor rgb="FFFFEB9C"/>
        </patternFill>
      </fill>
    </dxf>
    <dxf>
      <alignment horizontal="general"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colors>
    <mruColors>
      <color rgb="FFF282FC"/>
      <color rgb="FFA905B7"/>
      <color rgb="FF1D46F3"/>
      <color rgb="FF0A2DC2"/>
      <color rgb="FF7790F8"/>
      <color rgb="FFFF99C0"/>
      <color rgb="FFFF65A0"/>
      <color rgb="FF2FF532"/>
      <color rgb="FF008F00"/>
      <color rgb="FF3ACF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Scroll" dx="15" fmlaLink="$L$7" horiz="1" max="1000" noThreeD="1" page="0"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4521200</xdr:colOff>
      <xdr:row>0</xdr:row>
      <xdr:rowOff>177800</xdr:rowOff>
    </xdr:from>
    <xdr:to>
      <xdr:col>1</xdr:col>
      <xdr:colOff>6718300</xdr:colOff>
      <xdr:row>0</xdr:row>
      <xdr:rowOff>774700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4648200" y="177800"/>
          <a:ext cx="2197100" cy="59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4086225</xdr:colOff>
          <xdr:row>3</xdr:row>
          <xdr:rowOff>66675</xdr:rowOff>
        </xdr:from>
        <xdr:to>
          <xdr:col>14</xdr:col>
          <xdr:colOff>161925</xdr:colOff>
          <xdr:row>4</xdr:row>
          <xdr:rowOff>200025</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5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on Lange" refreshedDate="45108.39157349537" createdVersion="8" refreshedVersion="8" minRefreshableVersion="3" recordCount="234" xr:uid="{6F201A11-DA1A-DF43-80D3-1C966B75611D}">
  <cacheSource type="worksheet">
    <worksheetSource name="References"/>
  </cacheSource>
  <cacheFields count="5">
    <cacheField name="Reference" numFmtId="0">
      <sharedItems/>
    </cacheField>
    <cacheField name="Type" numFmtId="0">
      <sharedItems/>
    </cacheField>
    <cacheField name="Clause" numFmtId="0">
      <sharedItems count="8">
        <s v="4 Context of the organization"/>
        <s v="5 Leadership"/>
        <s v="6 Planning"/>
        <s v="7 Support"/>
        <s v="8 Operations"/>
        <s v="9 Performance evaluation"/>
        <s v="10 Improvement"/>
        <s v="Annex A"/>
      </sharedItems>
    </cacheField>
    <cacheField name="Subclause" numFmtId="0">
      <sharedItems count="27">
        <s v="4.1 Understanding the organization and its context"/>
        <s v="4.2 Understanding the needs and expectations of interested parties"/>
        <s v="4.3 Determining the scope of the information security management system"/>
        <s v="4.4 Information security management system"/>
        <s v="5.1 Leadership and commitment"/>
        <s v="5.2 Policy"/>
        <s v="5.3 Organizational roles, responsibilities and authorities"/>
        <s v="6.1 Actions to address risks and opportunities"/>
        <s v="6.2 Information security objectives and planning to achieve them"/>
        <s v="6.3 Planning of changes"/>
        <s v="7.1 Resources"/>
        <s v="7.2 Competence"/>
        <s v="7.3 Awareness"/>
        <s v="7.4 Communication"/>
        <s v="7.5 Documented information"/>
        <s v="8.1 Operational planning and control"/>
        <s v="8.2 Information security risk assessment"/>
        <s v="8.3 Information security risk treatment"/>
        <s v="9.1 Monitoring, measurement, analysis and evaluation"/>
        <s v="9.2 Internal audit"/>
        <s v="9.3 Management review"/>
        <s v="10.1 Continual improvement"/>
        <s v="10.2 Nonconformity and corrective action"/>
        <s v="5 Organizational controls"/>
        <s v="6 People controls"/>
        <s v="7 Physical controls"/>
        <s v="8 Technological controls"/>
      </sharedItems>
    </cacheField>
    <cacheField name="Description" numFmtId="0">
      <sharedItems containsBlank="1" count="236" longText="1">
        <s v="Due to copyright protection, this resource can not provide you with the actual citations of ISO/IEC 27001:2022. However you can add the text from your personal licensed copy."/>
        <m/>
        <s v="Equipment shall be sited securely and protected." u="1"/>
        <s v="When a nonconformity occurs, the organization shall:_x000a_d) review the effectiveness of any corrective action taken;" u="1"/>
        <s v="Relevant information security requirements shall be established and agreed with each supplier based on the type of supplier relationship." u="1"/>
        <s v="Test information shall be appropriately selected, protected and managed." u="1"/>
        <s v="When determining this scope, the organization shall consider:_x000a_a) the external and internal issues referred to in 4.1;" u="1"/>
        <s v="Storage media shall be managed through their life cycle of acquisition,_x000a_use, transportation and disposal in accordance with the organization’s_x000a_classification scheme and handling requirements." u="1"/>
        <s v="The organization shall conduct internal audits at planned intervals to provide information on whether the information security management system:_x000a_b) is effectively implemented and maintained." u="1"/>
        <s v="Information processing facilities shall be protected from power failures and other disruptions caused by failures in supporting utilities." u="1"/>
        <s v="The management review shall include consideration of:_x000a_c) changes in needs and expectations of interested parties that are relevant to the information security management system;" u="1"/>
        <s v="When planning how to achieve its information security objectives, the organization shall determine:_x000a_j) who will be responsible;" u="1"/>
        <s v="The organization shall conduct internal audits at planned intervals to provide information on whether the information security management system:_x000a_a) conforms to_x000a_2) the requirements of this document;" u="1"/>
        <s v="The organization shall:_x000a_b) select auditors and conduct audits that ensure objectivity and the impartiality of the audit process;" u="1"/>
        <s v="Clear desk rules for papers and removable storage media and clear screen rules for information processing facilities shall be defined and appropriately enforced." u="1"/>
        <s v="The information security objectives shall:_x000a_c) take into account applicable information security requirements, and results from risk assessment and risk treatment;" u="1"/>
        <s v="Information about technical vulnerabilities of information systems in use shall be obtained, the organization’s exposure to such vulnerabilities shall be evaluated and appropriate measures shall be taken." u="1"/>
        <s v="Rules for the secure development of software and systems shall be established and applied." u="1"/>
        <s v="The organization shall determine:_x000a_a) what needs to be monitored and measured, including information security processes and controls;" u="1"/>
        <s v="The organization shall define and apply an information security risk assessment process that:_x000a_d) analyses the information security risks:_x000a_3) determine the levels of risk;" u="1"/>
        <s v="The organization’s approach to managing information security and its implementation including people, processes and technologies shall be reviewed independently at planned intervals, or when significant changes occur." u="1"/>
        <s v="The organization shall define and apply an information security risk treatment process to:_x000a_f) obtain risk owners’ approval of the information security risk treatment plan and acceptance of the_x000a_residual information security risks." u="1"/>
        <s v="Items of equipment containing storage media shall be verified to ensure that any sensitive data and licensed software has been removed or securely overwritten prior to disposal or re-use." u="1"/>
        <s v="The organization shall determine:_x000a_b) the methods for monitoring, measurement, analysis and evaluation, as applicable, to ensure valid results. The methods selected should produce comparable and reproducible results to be_x000a_considered valid;" u="1"/>
        <s v="Documented information shall be available as evidence of the results." u="1"/>
        <s v="Access to external websites shall be managed to reduce exposure to_x000a_malicious content." u="1"/>
        <s v="Protection against malware shall be implemented and supported by appropriate user awareness." u="1"/>
        <s v="The organization shall assess information security events and decide if they are to be categorized as information security incidents." u="1"/>
        <s v="Secure coding principles shall be applied to software development." u="1"/>
        <s v="When establishing the internal audit programme(s), the organization shall consider the importance of the processes concerned and the results of previous audits." u="1"/>
        <s v="The organization shall define and apply an information security risk assessment process that:_x000a_e) evaluates the information security risks:_x000a_1) compare the results of risk analysis with the risk criteria established in 6.1.2 a);" u="1"/>
        <s v="Top management shall demonstrate leadership and commitment with respect to the information security management system by:_x000a_f) directing and supporting persons to contribute to the effectiveness of the information security management system;" u="1"/>
        <s v="The organization shall define and apply an information security risk assessment process that:_x000a_d) analyses the information security risks:_x000a_2) assess the realistic likelihood of the occurrence of the risks identified in 6.1.2 c) 1);" u="1"/>
        <s v="The organization shall implement the information security risk treatment plan." u="1"/>
        <s v="Networks and network devices shall be secured, managed and controlled_x000a_to protect information in systems and applications." u="1"/>
        <s v="Knowledge gained from information security incidents shall be used to strengthen and improve the information security controls." u="1"/>
        <s v="Principles for engineering secure systems shall be established, documented,_x000a_maintained and applied to any information system development activities." u="1"/>
        <s v="Rules for the effective use of cryptography, including cryptographic key management, shall be defined and implemented." u="1"/>
        <s v="The organization shall:_x000a_c) where applicable, take actions to acquire the necessary competence, and evaluate the effectivenessof the actions taken;" u="1"/>
        <s v="Corrective actions shall be appropriate to the effects of the nonconformities encountered." u="1"/>
        <s v="Processes and procedures shall be defined and implemented to manage the information security risks associated with the ICT products and services supply chain." u="1"/>
        <s v="The organization shall define and apply an information security risk treatment process to:" u="1"/>
        <s v="The organization shall determine: _x000a_b) the relevant requirements of these interested parties;" u="1"/>
        <s v="When a nonconformity occurs, the organization shall:_x000a_a) react to the nonconformity, and as applicable:_x000a_2) deal with the consequences;" u="1"/>
        <s v="ICT readiness shall be planned, implemented, maintained and tested_x000a_based on business continuity objectives and ICT continuity requirements." u="1"/>
        <s v="Backup copies of information, software and systems shall be maintained and regularly tested in accordance with the agreed topic-specific policy on backup." u="1"/>
        <s v="When the organization determines the need for changes to the information security management system, the changes shall be carried out in a planned manner." u="1"/>
        <s v="When a nonconformity occurs, the organization shall:_x000a_b) evaluate the need for action to eliminate the causes of nonconformity, in order that it does not recur or occur elsewhere, by:_x000a_2) determining the causes of the nonconformity;" u="1"/>
        <s v="The organization’s information security management system shall include:_x000a_a) documented information required by this document;" u="1"/>
        <s v="The results of the management review shall include decisions related to continual improvement opportunities and any needs for changes to the information security management system." u="1"/>
        <s v="The organization shall plan:_x000a_e) how to_x000a_2) evaluate the effectiveness of these actions." u="1"/>
        <s v="Information processing facilities shall be implemented with redundancy sufficient to meet availability requirements." u="1"/>
        <s v="The organization shall determine:_x000a_a) interested parties that are relevant to the information security management system;" u="1"/>
        <s v="Rules for the acceptable use and procedures for handling information and_x000a_other associated assets shall be identified, documented and implemented." u="1"/>
        <s v="The organization shall:_x000a_a) define the audit criteria and scope for each audit;" u="1"/>
        <s v="The use of utility programs that can be capable of overriding system and application controls shall be restricted and tightly controlled." u="1"/>
        <s v="The organization shall retain documented information on the information security objectives." u="1"/>
        <s v="The management review shall include consideration of:_x000a_f) results of risk assessment and status of risk treatment plan;" u="1"/>
        <s v="For the control of documented information, the organization shall address the following activities, as applicable:_x000a_f) retention and disposition." u="1"/>
        <s v="Protection against physical and environmental threats, such as natural_x000a_disasters and other intentional or unintentional physical threats to infrastructure shall be designed and implemented." u="1"/>
        <s v="Information security requirements shall be identified, specified and approved when developing or acquiring applications." u="1"/>
        <s v="Top management shall demonstrate leadership and commitment with respect to the information security management system by:_x000a_d) communicating the importance of effective information security management and of conforming_x000a_to the information security management system requirements;" u="1"/>
        <s v="The information security policy shall:_x000a_g) be available to interested parties, as appropriate." u="1"/>
        <s v="Procedures and measures shall be implemented to securely manage_x000a_software installation on operational systems." u="1"/>
        <s v="The organization shall evaluate the information security performance and the effectiveness of the information security management system." u="1"/>
        <s v="Data masking shall be used in accordance with the organization’s topic-specific policy on access control and other related topic-specific policies, and business requirements, taking applicable legislation into consideration." u="1"/>
        <s v="The information security policy shall:_x000a_e) be available as documented information;" u="1"/>
        <s v="The organization shall retain documented information about the information security risk treatment process." u="1"/>
        <s v="For the control of documented information, the organization shall address the following activities, as applicable:_x000a_e) control of changes (e.g. version control);" u="1"/>
        <s v="The organization shall implement appropriate procedures to protect intellectual property rights." u="1"/>
        <s v="The organization shall:_x000a_a) determine the necessary competence of person(s) doing work under its control that affects its information security performance;" u="1"/>
        <s v="Top management shall establish an information security policy that:_x000a_d) includes a commitment to continual improvement of the information security management system." u="1"/>
        <s v="The management review shall include consideration of:_x000a_d) feedback on the information security performance, including trends in:_x000a_1) nonconformities and corrective actions;" u="1"/>
        <s v="The organization shall determine the need for internal and external communications relevant to the information security management system including:_x000a_c) with whom to communicate;" u="1"/>
        <s v="For the control of documented information, the organization shall address the following activities, as applicable:_x000a_d) storage and preservation, including the preservation of legibility;" u="1"/>
        <s v="Off-site assets shall be protected." u="1"/>
        <s v="Equipment shall be maintained correctly to ensure availability, integrity and confidentiality of information." u="1"/>
        <s v="Audit tests and other assurance activities involving assessment of operational_x000a_systems shall be planned and agreed between the tester and appropriate management." u="1"/>
        <s v="The organization shall plan, establish, implement and maintain an audit programme(s), including the frequency, methods, responsibilities, planning requirements and reporting." u="1"/>
        <s v="The organization shall conduct internal audits at planned intervals to provide information on whether the information security management system:_x000a_a) conforms to_x000a_1) the organization’s own requirements for its information security management system;" u="1"/>
        <s v="Top management shall demonstrate leadership and commitment with respect to the information security management system by:_x000a_a) ensuring the information security policy and the information security objectives are established_x000a_and are compatible with the strategic direction of the organization;" u="1"/>
        <s v="Premises shall be continuously monitored for unauthorized physical access." u="1"/>
        <s v="The management review shall include consideration of:_x000a_e) feedback from interested parties;" u="1"/>
        <s v="Top management shall demonstrate leadership and commitment with respect to the information security management system by:_x000a_c) ensuring that the resources needed for the information security management system are available;" u="1"/>
        <s v="Confidentiality or non-disclosure agreements reflecting the organization’s_x000a_needs for the protection of information shall be identified, documented, regularly reviewed and signed by personnel and other relevant interested parties." u="1"/>
        <s v="Physical security for offices, rooms and facilities shall be designed and implemented." u="1"/>
        <s v="Rules to control physical and logical access to information and other associated assets shall be established and implemented based on business and information security requirements." u="1"/>
        <s v="Management shall require all personnel to apply information security in accordance with the established information security policy, topic-specific policies and procedures of the organization." u="1"/>
        <s v="When a nonconformity occurs, the organization shall:_x000a_b) evaluate the need for action to eliminate the causes of nonconformity, in order that it does not recur or occur elsewhere, by:_x000a_1) reviewing the nonconformity;" u="1"/>
        <s v="The organization shall define and apply an information security risk assessment process that:_x000a_d) analyses the information security risks:_x000a_1) assess the potential consequences that would result if the risks identified in 6.1.2 c) 1) were to materialize;" u="1"/>
        <s v="Logs that record activities, exceptions, faults and other relevant events shall be produced, stored, protected and analysed." u="1"/>
        <s v="Compliance with the organization’s information security policy, topic-specific policies, rules and standards shall be regularly reviewed." u="1"/>
        <s v="The organization shall:_x000a_d) retain appropriate documented information as evidence of competence." u="1"/>
        <s v="The organization shall establish information security objectives at relevant functions and levels." u="1"/>
        <s v="The full life cycle of identities shall be managed." u="1"/>
        <s v="The use of resources shall be monitored and adjusted in line with current and expected capacity requirements." u="1"/>
        <s v="Information relating to information security threats shall be collected and analysed to produce threat intelligence." u="1"/>
        <s v="The organization shall determine external and internal issues that are relevant to its purpose and that affect its ability to achieve the intended outcome(s) of its information security management system." u="1"/>
        <s v="The organization shall determine:_x000a_e) when the results from monitoring and measurement shall be analysed and evaluated;" u="1"/>
        <s v="The organization shall:_x000a_b) ensure that these persons are competent on the basis of appropriate education, training, or experience;" u="1"/>
        <s v="Top management shall establish an information security policy that:_x000a_c) includes a commitment to satisfy applicable requirements related to information security;" u="1"/>
        <s v="Personnel and other interested parties as appropriate shall return all the organization’s assets in their possession upon change or termination of their employment, contract or agreement." u="1"/>
        <s v="The organization shall identify and meet the requirements regarding the preservation of privacy and protection of PII according to applicable laws and regulations and contractual requirements." u="1"/>
        <s v="Security measures shall be implemented when personnel are working remotely to protect information accessed, processed or stored outside the organization’s premises." u="1"/>
        <s v="The organization shall determine:_x000a_d) who shall monitor and measure;" u="1"/>
        <s v="The management review shall include consideration of:_x000a_d) feedback on the information security performance, including trends in:_x000a_3) audit results;" u="1"/>
        <s v="Secure authentication technologies and procedures shall be implemented based on information access restrictions and the topic-specific policy on access control." u="1"/>
        <s v="Top management shall assign the responsibility and authority for:_x000a_b) reporting on the performance of the information security management system to top management." u="1"/>
        <s v="The organization shall define and apply an information security risk assessment process that:_x000a_c) identifies the information security risks:_x000a_2) identify the risk owners;" u="1"/>
        <s v="The organization shall define and apply an information security risk assessment process that:_x000a_e) evaluates the information security risks:_x000a_2) prioritize the analysed risks for risk treatment." u="1"/>
        <s v="The organization shall:_x000a_c) ensure that the results of the audits are reported to relevant management;" u="1"/>
        <s v="The organization shall retain documented information of the results of the information security risk treatment." u="1"/>
        <s v="The organization shall determine: _x000a_c) which of these requirements will be addressed through the information security management system." u="1"/>
        <s v="When a nonconformity occurs, the organization shall:_x000a_a) react to the nonconformity, and as applicable:_x000a_1) take action to control and correct it;" u="1"/>
        <s v="The organization shall define and apply an information security risk treatment process to:_x000a_a) select appropriate information security risk treatment options, taking account of the risk assessment results;" u="1"/>
        <s v="Top management shall demonstrate leadership and commitment with respect to the information security management system by:_x000a_b) ensuring the integration of the information security management system requirements into the organization’s processes;" u="1"/>
        <s v="The information security objectives shall:_x000a_f) be updated as appropriate;" u="1"/>
        <s v="The organization shall plan:_x000a_d) actions to address these risks and opportunities;" u="1"/>
        <s v="Operating procedures for information processing facilities shall be documented and made available to personnel who need them." u="1"/>
        <s v="The organization shall regularly monitor, review, evaluate and manage change in supplier information security practices and service delivery." u="1"/>
        <s v="The organization shall determine the need for internal and external communications relevant to the information security management system including:_x000a_a) on what to communicate;" u="1"/>
        <s v="Personnel of the organization and relevant interested parties shall receive_x000a_appropriate information security awareness, education and training and regular updates of the organization's information security policy, topic-specific policies and procedures, as relevant for their job function." u="1"/>
        <s v="An inventory of information and other associated assets, including owners, shall be developed and maintained." u="1"/>
        <s v="Information transfer rules, procedures, or agreements shall be in place for all types of transfer facilities within the organization and between the organization and other parties." u="1"/>
        <s v="The information security objectives shall:_x000a_e) be communicated;" u="1"/>
        <s v="Secure areas shall be protected by appropriate entry controls and access points." u="1"/>
        <s v="The information security objectives shall:_x000a_a) be consistent with the information security policy;" u="1"/>
        <s v="Persons doing work under the organization’s control shall be aware of:_x000a_c) the implications of not conforming with the information security management system requirements." u="1"/>
        <s v="Top management shall assign the responsibility and authority for:_x000a_a) ensuring that the information security management system conforms to the requirements of this_x000a_document;" u="1"/>
        <s v="The management review shall include consideration of:_x000a_d) feedback on the information security performance, including trends in:_x000a_4) fulfilment of information security objectives;" u="1"/>
        <s v="Allocation and management of authentication information shall be_x000a_controlled by a management process, including advising personnel on appropriate handling of authentication information." u="1"/>
        <s v="The organization shall determine:_x000a_c) when the monitoring and measuring shall be performed;" u="1"/>
        <s v="When planning how to achieve its information security objectives, the organization shall determine:_x000a_h) what will be done;" u="1"/>
        <s v="The organization shall determine and provide the resources needed for the establishment, implementation, maintenance and continual improvement of the information security management_x000a_system." u="1"/>
        <s v="The organization shall provide a mechanism for personnel to report observed or suspected information security events through appropriate channels in a timely manner." u="1"/>
        <s v="The organization shall plan and prepare for managing information security incidents by defining, establishing and communicating information security incident management processes, roles and responsibilities." u="1"/>
        <s v="Information stored on, processed by or accessible via user end point devices shall be protected." u="1"/>
        <s v="Cables carrying power, data or supporting information services shall be protected from interception, interference or damage." u="1"/>
        <s v="Information shall be classified according to the information security needs of the organization based on confidentiality, integrity, availability and relevant interested party requirements." u="1"/>
        <s v="The organization shall define and apply an information security risk treatment process to:_x000a_b) determine all controls that are necessary to implement the information security risk treatment option(s) chosen;" u="1"/>
        <s v="Conflicting duties and conflicting areas of responsibility shall be segregated." u="1"/>
        <s v="The scope shall be available as documented information." u="1"/>
        <s v="The information security objectives shall:_x000a_b) be measurable (if practicable);" u="1"/>
        <s v="Security perimeters shall be defined and used to protect areas that contain information and other associated assets." u="1"/>
        <s v="Documented information shall be available to the extent necessary to have confidence that the processes have been carried out as planned." u="1"/>
        <s v="The organization shall determine the need for internal and external communications relevant to the information security management system including:_x000a_b) when to communicate;" u="1"/>
        <s v="Access rights to information and other associated assets shall be provisioned, reviewed, modified and removed in accordance with the organization’s topic-specific policy on and rules for access control." u="1"/>
        <s v="Information security responsibilities and duties that remain valid after termination or change of employment shall be defined, enforced and communicated to relevant personnel and other interested parties." u="1"/>
        <s v="Information security roles and responsibilities shall be defined and_x000a_allocated according to the organization needs." u="1"/>
        <s v="Information security incidents shall be responded to in accordance with the documented procedures." u="1"/>
        <s v="The organization shall plan how to maintain information security at an appropriate level during disruption." u="1"/>
        <s v="The organization shall plan:_x000a_e) how to_x000a_1) integrate and implement the actions into its information security management system processes;" u="1"/>
        <s v="The organization shall establish and implement procedures for the identification,_x000a_collection, acquisition and preservation of evidence related to information security events." u="1"/>
        <s v="Legal, statutory, regulatory and contractual requirements relevant to information security and the organization’s approach to meet these requirements shall be identified, documented and kept up to date." u="1"/>
        <s v="Top management shall demonstrate leadership and commitment with respect to the information security management system by:_x000a_h) supporting other relevant management roles to demonstrate their leadership as it applies to their_x000a_areas of responsibility." u="1"/>
        <s v="Documented information shall be available as evidence of:_x000a_f) the nature of the nonconformities and any subsequent actions taken," u="1"/>
        <s v="The organization shall determine the boundaries and applicability of the information security_x000a_management system to establish its scope." u="1"/>
        <s v="The organization shall define and apply an information security risk assessment process that:_x000a_a) establishes and maintains information security risk criteria that include:_x000a_1) the risk acceptance criteria;" u="1"/>
        <s v="Security testing processes shall be defined and implemented in the development life cycle." u="1"/>
        <s v="The management review shall include consideration of:_x000a_a) the status of actions from previous management reviews;" u="1"/>
        <s v="When creating and updating documented information the organization shall ensure appropriate:_x000a_b) format (e.g. language, software version, graphics) and media (e.g. paper, electronic);" u="1"/>
        <s v="The organization shall establish and maintain contact with relevant authorities." u="1"/>
        <s v="Documented information shall be available as evidence of the results of management reviews." u="1"/>
        <s v="When determining this scope, the organization shall consider:_x000a_b) the requirements referred to in 4.2;" u="1"/>
        <s v="When planning how to achieve its information security objectives, the organization shall determine:_x000a_l) how the results will be evaluated." u="1"/>
        <s v="When creating and updating documented information the organization shall ensure appropriate:_x000a_a) identification and description (e.g. a title, date, author, or reference number);" u="1"/>
        <s v="The organization shall define and apply an information security risk assessment process that:_x000a_c) identifies the information security risks:_x000a_1) apply the information security risk assessment process to identify risks associated with_x000a_the loss of confidentiality, integrity and availability for information within the scope of the_x000a_information security management system;" u="1"/>
        <s v="The organization shall define and apply an information security risk treatment process to:_x000a_c) compare the controls determined in 6.1.3 b) above with those in Annex A and verify that no necessary controls have been omitted;" u="1"/>
        <s v="The organization shall direct, monitor and review the activities related to outsourced system development." u="1"/>
        <s v="Documented information required by the information security management system and by this document shall be controlled to ensure:_x000a_a) it is available and suitable for use, where and when it is needed;" u="1"/>
        <s v="Documented information required by the information security management system and by this document shall be controlled to ensure:_x000a_b) it is adequately protected (e.g. from loss of confidentiality, improper use, or loss of integrity)." u="1"/>
        <s v="Records shall be protected from loss, destruction, falsification, unauthorized_x000a_access and unauthorized release." u="1"/>
        <s v="Changes to information processing facilities and information systems shall be subject to change management procedures." u="1"/>
        <s v="The employment contractual agreements shall state the personnel’s and the organization’s responsibilities for _x000a_information security." u="1"/>
        <s v="When planning how to achieve its information security objectives, the organization shall determine:_x000a_i) what resources will be required;" u="1"/>
        <s v="Information security policy and topic-specific policies shall be defined,_x000a_approved by management, published, communicated to and acknowledged by relevant personnel and relevant interested parties, and reviewed at planned intervals and if significant changes occur." u="1"/>
        <s v="When a nonconformity occurs, the organization shall:_x000a_c) implement any action needed;" u="1"/>
        <s v="The information security objectives shall:_x000a_g) be available as documented information." u="1"/>
        <s v="Documented information shall be available as evidence of:_x000a_g) the results of any corrective action." u="1"/>
        <s v="When creating and updating documented information the organization shall ensure appropriate:_x000a_c) review and approval for suitability and adequacy." u="1"/>
        <s v="Top management shall establish an information security policy that:_x000a_b) includes information security objectives (see 6.2) or provides the framework for setting information security objectives;" u="1"/>
        <s v="The organization shall plan, implement and control the processes needed to meet requirements, and to_x000a_implement the actions determined in Clause 6, by:_x000a_— establishing criteria for the processes;_x000a_— implementing control of the processes in accordance with the criteria." u="1"/>
        <s v="Read and write access to source code, development tools and software libraries shall be appropriately managed." u="1"/>
        <s v="The organization shall control planned changes and review the consequences of unintended changes, taking action to mitigate any adverse effects, as necessary." u="1"/>
        <s v="Processes for acquisition, use, management and exit from cloud services_x000a_shall be established in accordance with the organization’s information security requirements." u="1"/>
        <s v="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 u="1"/>
        <s v="The information security policy shall:_x000a_f) be communicated within the organization;" u="1"/>
        <s v="The organization shall determine the need for internal and external communications relevant to the information security management system including:_x000a_d) how to communicate." u="1"/>
        <s v="Persons doing work under the organization’s control shall be aware of:_x000a_b) their contribution to the effectiveness of the information security management system, including the benefits of improved information security performance;" u="1"/>
        <s v="Top management shall demonstrate leadership and commitment with respect to the information security management system by:_x000a_e) ensuring that the information security management system achieves its intended outcome(s);" u="1"/>
        <s v="The management review shall include consideration of:_x000a_g) opportunities for continual improvement." u="1"/>
        <s v="Information security shall be integrated into project management." u="1"/>
        <s v="Access to information and other associated assets shall be restricted in accordance with the established topic-specific policy on access control." u="1"/>
        <s v="When determining this scope, the organization shall consider:_x000a_c) interfaces and dependencies between activities performed by the organization, and those that are performed by other organizations." u="1"/>
        <s v="The allocation and use of privileged access rights shall be restricted and managed." u="1"/>
        <s v="When planning for the information security management system, the organization shall consider the issues referred to in 4.1 and the requirements referred to in 4.2 and determine the risks and opportunities that need to be addressed to:_x000a_c) achieve continual improvement." u="1"/>
        <s v="The organization shall determine:_x000a_f) who shall analyse and evaluate these results." u="1"/>
        <s v="The information security objectives shall:_x000a_d) be monitored;" u="1"/>
        <s v="The organization shall continually improve the suitability, adequacy and effectiveness of the information security management system." u="1"/>
        <s v="Data leakage prevention measures shall be applied to systems, networks and any other devices that process, store or transmit sensitive information." u="1"/>
        <s v="Top management shall review the organization's information security management system at planned intervals to ensure its continuing suitability, adequacy and effectiveness." u="1"/>
        <s v="The organization shall establish, implement, maintain and continually improve an information security_x000a_management system, including the processes needed and their interactions, in accordance with the_x000a_requirements of this document." u="1"/>
        <s v="Security measures for working in secure areas shall be designed and implemented." u="1"/>
        <s v="The organization shall retain documented information of the results of the information security risk assessments." u="1"/>
        <s v="Information stored in information systems, devices or in any other storage media shall be deleted when no longer required." u="1"/>
        <s v="The organization shall establish and maintain contact with special interest groups or other specialist security forums and professional associations." u="1"/>
        <s v="Documented information of external origin, determined by the organization to be necessary for the planning and operation of the information security management system, shall be identified as_x000a_appropriate, and controlled." u="1"/>
        <s v="When a nonconformity occurs, the organization shall:_x000a_b) evaluate the need for action to eliminate the causes of nonconformity, in order that it does not recur or occur elsewhere, by:_x000a_3) determining if similar nonconformities exist, or could potentially occur;" u="1"/>
        <s v="Development, testing and production environments shall be separated_x000a_and secured." u="1"/>
        <s v="Top management shall establish an information security policy that:_x000a_a) is appropriate to the purpose of the organization;" u="1"/>
        <s v="Networks, systems and applications shall be monitored for anomalous behaviour and appropriate actions taken to evaluate potential information security incidents." u="1"/>
        <s v="The management review shall include consideration of:_x000a_b) changes in external and internal issues that are relevant to the information security management system;" u="1"/>
        <s v="The organization shall define and apply an information security risk assessment process that:_x000a_b) ensures that repeated information security risk assessments produce consistent, valid and comparable results;" u="1"/>
        <s v="When planning how to achieve its information security objectives, the organization shall determine:_x000a_k) when it will be completed;" u="1"/>
        <s v="The organization shall ensure that externally provided processes, products or services that are relevant to the information security management system are controlled." u="1"/>
        <s v="An appropriate set of procedures for information labelling shall be developed and implemented in accordance with the information classification scheme adopted by the organization." u="1"/>
        <s v="Groups of information services, users and information systems shall be segregated in the organization’s networks." u="1"/>
        <s v="Configurations, including security configurations, of hardware, software,_x000a_services and networks shall be established, documented, implemented, monitored and reviewed." u="1"/>
        <s v="The management review shall include consideration of:_x000a_d) feedback on the information security performance, including trends in:_x000a_2) monitoring and measurement results;" u="1"/>
        <s v="The organization shall perform information security risk assessments at planned intervals or when significant changes are proposed or occur, taking account of the criteria established in 6.1.2 a)." u="1"/>
        <s v="The clocks of information processing systems used by the organization_x000a_shall be synchronized to approved time sources." u="1"/>
        <s v="Documented information shall be available as evidence of the implementation of the audit programme(s) and the audit results." u="1"/>
        <s v="Top management shall demonstrate leadership and commitment with respect to the information security management system by:_x000a_g) promoting continual improvement;" u="1"/>
        <s v="For the control of documented information, the organization shall address the following activities, as applicable:_x000a_c) distribution, access, retrieval and use;" u="1"/>
        <s v="When planning for the information security management system, the organization shall consider the issues referred to in 4.1 and the requirements referred to in 4.2 and determine the risks and opportunities that need to be addressed to:_x000a_b) prevent, or reduce, undesired effects;" u="1"/>
        <s v="The organization shall define and apply an information security risk treatment process to:_x000a_d) produce a Statement of Applicability that contains:_x000a_— the necessary controls (see 6.1.3 b) and c));_x000a_— justification for their inclusion;_x000a_— whether the necessary controls are implemented or not; and_x000a_— the justification for excluding any of the Annex A controls." u="1"/>
        <s v="Persons doing work under the organization’s control shall be aware of:_x000a_a) the information security policy;" u="1"/>
        <s v="The organization shall retain documented information about the information security risk assessment process." u="1"/>
        <s v="When a nonconformity occurs, the organization shall:_x000a_e) make changes to the information security management system, if necessary." u="1"/>
        <s v="When planning for the information security management system, the organization shall consider the issues referred to in 4.1 and the requirements referred to in 4.2 and determine the risks and opportunities that need to be addressed to:_x000a_a) ensure the information security management system can achieve its intended outcome(s);" u="1"/>
        <s v="Security mechanisms, service levels and service requirements of network_x000a_services shall be identified, implemented and monitored." u="1"/>
        <s v="Processes and procedures shall be defined and implemented to manage the information security risks associated with the use of supplier’s products or services." u="1"/>
        <s v="Top management shall ensure that the responsibilities and authorities for roles relevant to information security are assigned and communicated within the organization." u="1"/>
        <s v="A disciplinary process shall be formalized and communicated to take actions against personnel and other relevant interested parties who have committed an information security policy violation." u="1"/>
        <s v="The organization’s information security management system shall include:_x000a_b) documented information determined by the organization as being necessary for the effectiveness of the information security management system." u="1"/>
        <s v="The organization shall define and apply an information security risk assessment process that:_x000a_a) establishes and maintains information security risk criteria that include:_x000a_2) criteria for performing information security risk assessment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s v="4.1 ¶1"/>
    <s v="Core Topic"/>
    <x v="0"/>
    <x v="0"/>
    <x v="0"/>
  </r>
  <r>
    <s v="4.2 a)"/>
    <s v="Core Topic"/>
    <x v="0"/>
    <x v="1"/>
    <x v="1"/>
  </r>
  <r>
    <s v="4.2 b)"/>
    <s v="Core Topic"/>
    <x v="0"/>
    <x v="1"/>
    <x v="1"/>
  </r>
  <r>
    <s v="4.2 c)"/>
    <s v="Core Topic"/>
    <x v="0"/>
    <x v="1"/>
    <x v="1"/>
  </r>
  <r>
    <s v="4.3 ¶1"/>
    <s v="Core Topic"/>
    <x v="0"/>
    <x v="2"/>
    <x v="1"/>
  </r>
  <r>
    <s v="4.3 a)"/>
    <s v="Core Topic"/>
    <x v="0"/>
    <x v="2"/>
    <x v="1"/>
  </r>
  <r>
    <s v="4.3 b)"/>
    <s v="Core Topic"/>
    <x v="0"/>
    <x v="2"/>
    <x v="1"/>
  </r>
  <r>
    <s v="4.3 c)"/>
    <s v="Core Topic"/>
    <x v="0"/>
    <x v="2"/>
    <x v="1"/>
  </r>
  <r>
    <s v="4.3 ¶2"/>
    <s v="Core Topic"/>
    <x v="0"/>
    <x v="2"/>
    <x v="1"/>
  </r>
  <r>
    <s v="4.4 ¶1"/>
    <s v="Core Topic"/>
    <x v="0"/>
    <x v="3"/>
    <x v="1"/>
  </r>
  <r>
    <s v="5.1 a)"/>
    <s v="Core Topic"/>
    <x v="1"/>
    <x v="4"/>
    <x v="1"/>
  </r>
  <r>
    <s v="5.1 b)"/>
    <s v="Core Topic"/>
    <x v="1"/>
    <x v="4"/>
    <x v="1"/>
  </r>
  <r>
    <s v="5.1 c)"/>
    <s v="Core Topic"/>
    <x v="1"/>
    <x v="4"/>
    <x v="1"/>
  </r>
  <r>
    <s v="5.1 d)"/>
    <s v="Core Topic"/>
    <x v="1"/>
    <x v="4"/>
    <x v="1"/>
  </r>
  <r>
    <s v="5.1 e)"/>
    <s v="Core Topic"/>
    <x v="1"/>
    <x v="4"/>
    <x v="1"/>
  </r>
  <r>
    <s v="5.1 f)"/>
    <s v="Core Topic"/>
    <x v="1"/>
    <x v="4"/>
    <x v="1"/>
  </r>
  <r>
    <s v="5.1 g)"/>
    <s v="Core Topic"/>
    <x v="1"/>
    <x v="4"/>
    <x v="1"/>
  </r>
  <r>
    <s v="5.1 h)"/>
    <s v="Core Topic"/>
    <x v="1"/>
    <x v="4"/>
    <x v="1"/>
  </r>
  <r>
    <s v="5.2 a)"/>
    <s v="Core Topic"/>
    <x v="1"/>
    <x v="5"/>
    <x v="1"/>
  </r>
  <r>
    <s v="5.2 b)"/>
    <s v="Core Topic"/>
    <x v="1"/>
    <x v="5"/>
    <x v="1"/>
  </r>
  <r>
    <s v="5.2 c)"/>
    <s v="Core Topic"/>
    <x v="1"/>
    <x v="5"/>
    <x v="1"/>
  </r>
  <r>
    <s v="5.2 d)"/>
    <s v="Core Topic"/>
    <x v="1"/>
    <x v="5"/>
    <x v="1"/>
  </r>
  <r>
    <s v="5.2 e)"/>
    <s v="Core Topic"/>
    <x v="1"/>
    <x v="5"/>
    <x v="1"/>
  </r>
  <r>
    <s v="5.2 f)"/>
    <s v="Core Topic"/>
    <x v="1"/>
    <x v="5"/>
    <x v="1"/>
  </r>
  <r>
    <s v="5.2 g)"/>
    <s v="Core Topic"/>
    <x v="1"/>
    <x v="5"/>
    <x v="1"/>
  </r>
  <r>
    <s v="5.3 ¶1"/>
    <s v="Core Topic"/>
    <x v="1"/>
    <x v="6"/>
    <x v="1"/>
  </r>
  <r>
    <s v="5.3 a)"/>
    <s v="Core Topic"/>
    <x v="1"/>
    <x v="6"/>
    <x v="1"/>
  </r>
  <r>
    <s v="5.3 b)"/>
    <s v="Core Topic"/>
    <x v="1"/>
    <x v="6"/>
    <x v="1"/>
  </r>
  <r>
    <s v="6.1.1 a)"/>
    <s v="Core Topic"/>
    <x v="2"/>
    <x v="7"/>
    <x v="1"/>
  </r>
  <r>
    <s v="6.1.1 b)"/>
    <s v="Core Topic"/>
    <x v="2"/>
    <x v="7"/>
    <x v="1"/>
  </r>
  <r>
    <s v="6.1.1 c)"/>
    <s v="Core Topic"/>
    <x v="2"/>
    <x v="7"/>
    <x v="1"/>
  </r>
  <r>
    <s v="6.1.1 d)"/>
    <s v="Core Topic"/>
    <x v="2"/>
    <x v="7"/>
    <x v="1"/>
  </r>
  <r>
    <s v="6.1.1 e) 1)"/>
    <s v="Core Topic"/>
    <x v="2"/>
    <x v="7"/>
    <x v="1"/>
  </r>
  <r>
    <s v="6.1.1 e) 2)"/>
    <s v="Core Topic"/>
    <x v="2"/>
    <x v="7"/>
    <x v="1"/>
  </r>
  <r>
    <s v="6.1.2 a) 1)"/>
    <s v="Core Topic"/>
    <x v="2"/>
    <x v="7"/>
    <x v="1"/>
  </r>
  <r>
    <s v="6.1.2 a) 2)"/>
    <s v="Core Topic"/>
    <x v="2"/>
    <x v="7"/>
    <x v="1"/>
  </r>
  <r>
    <s v="6.1.2 b)"/>
    <s v="Core Topic"/>
    <x v="2"/>
    <x v="7"/>
    <x v="1"/>
  </r>
  <r>
    <s v="6.1.2 c) 1)"/>
    <s v="Core Topic"/>
    <x v="2"/>
    <x v="7"/>
    <x v="1"/>
  </r>
  <r>
    <s v="6.1.2 c) 2)"/>
    <s v="Core Topic"/>
    <x v="2"/>
    <x v="7"/>
    <x v="1"/>
  </r>
  <r>
    <s v="6.1.2 d) 1)"/>
    <s v="Core Topic"/>
    <x v="2"/>
    <x v="7"/>
    <x v="1"/>
  </r>
  <r>
    <s v="6.1.2 d) 2)"/>
    <s v="Core Topic"/>
    <x v="2"/>
    <x v="7"/>
    <x v="1"/>
  </r>
  <r>
    <s v="6.1.2 d) 3)"/>
    <s v="Core Topic"/>
    <x v="2"/>
    <x v="7"/>
    <x v="1"/>
  </r>
  <r>
    <s v="6.1.2 e) 1)"/>
    <s v="Core Topic"/>
    <x v="2"/>
    <x v="7"/>
    <x v="1"/>
  </r>
  <r>
    <s v="6.1.2 e) 2)"/>
    <s v="Core Topic"/>
    <x v="2"/>
    <x v="7"/>
    <x v="1"/>
  </r>
  <r>
    <s v="6.1.2 ¶1"/>
    <s v="Core Topic"/>
    <x v="2"/>
    <x v="7"/>
    <x v="1"/>
  </r>
  <r>
    <s v="6.1.3 a)"/>
    <s v="Core Topic"/>
    <x v="2"/>
    <x v="7"/>
    <x v="1"/>
  </r>
  <r>
    <s v="6.1.3 b)"/>
    <s v="Core Topic"/>
    <x v="2"/>
    <x v="7"/>
    <x v="1"/>
  </r>
  <r>
    <s v="6.1.3 c)"/>
    <s v="Core Topic"/>
    <x v="2"/>
    <x v="7"/>
    <x v="1"/>
  </r>
  <r>
    <s v="6.1.3 d)"/>
    <s v="Core Topic"/>
    <x v="2"/>
    <x v="7"/>
    <x v="1"/>
  </r>
  <r>
    <s v="6.1.3 e)"/>
    <s v="Core Topic"/>
    <x v="2"/>
    <x v="7"/>
    <x v="1"/>
  </r>
  <r>
    <s v="6.1.3 f)"/>
    <s v="Core Topic"/>
    <x v="2"/>
    <x v="7"/>
    <x v="1"/>
  </r>
  <r>
    <s v="6.1.3 ¶1"/>
    <s v="Core Topic"/>
    <x v="2"/>
    <x v="7"/>
    <x v="1"/>
  </r>
  <r>
    <s v="6.2 ¶1"/>
    <s v="Core Topic"/>
    <x v="2"/>
    <x v="8"/>
    <x v="1"/>
  </r>
  <r>
    <s v="6.2 a)"/>
    <s v="Core Topic"/>
    <x v="2"/>
    <x v="8"/>
    <x v="1"/>
  </r>
  <r>
    <s v="6.2 b)"/>
    <s v="Core Topic"/>
    <x v="2"/>
    <x v="8"/>
    <x v="1"/>
  </r>
  <r>
    <s v="6.2 c)"/>
    <s v="Core Topic"/>
    <x v="2"/>
    <x v="8"/>
    <x v="1"/>
  </r>
  <r>
    <s v="6.2 d)"/>
    <s v="Core Topic"/>
    <x v="2"/>
    <x v="8"/>
    <x v="1"/>
  </r>
  <r>
    <s v="6.2 e)"/>
    <s v="Core Topic"/>
    <x v="2"/>
    <x v="8"/>
    <x v="1"/>
  </r>
  <r>
    <s v="6.2 f)"/>
    <s v="Core Topic"/>
    <x v="2"/>
    <x v="8"/>
    <x v="1"/>
  </r>
  <r>
    <s v="6.2 g)"/>
    <s v="Core Topic"/>
    <x v="2"/>
    <x v="8"/>
    <x v="1"/>
  </r>
  <r>
    <s v="6.2 ¶2"/>
    <s v="Core Topic"/>
    <x v="2"/>
    <x v="8"/>
    <x v="1"/>
  </r>
  <r>
    <s v="6.2 h)"/>
    <s v="Core Topic"/>
    <x v="2"/>
    <x v="8"/>
    <x v="1"/>
  </r>
  <r>
    <s v="6.2 i)"/>
    <s v="Core Topic"/>
    <x v="2"/>
    <x v="8"/>
    <x v="1"/>
  </r>
  <r>
    <s v="6.2 j)"/>
    <s v="Core Topic"/>
    <x v="2"/>
    <x v="8"/>
    <x v="1"/>
  </r>
  <r>
    <s v="6.2 k)"/>
    <s v="Core Topic"/>
    <x v="2"/>
    <x v="8"/>
    <x v="1"/>
  </r>
  <r>
    <s v="6.2 l)"/>
    <s v="Core Topic"/>
    <x v="2"/>
    <x v="8"/>
    <x v="1"/>
  </r>
  <r>
    <s v="6.3 ¶1"/>
    <s v="Core Topic"/>
    <x v="2"/>
    <x v="9"/>
    <x v="1"/>
  </r>
  <r>
    <s v="7.1 ¶1"/>
    <s v="Core Topic"/>
    <x v="3"/>
    <x v="10"/>
    <x v="1"/>
  </r>
  <r>
    <s v="7.2 a)"/>
    <s v="Core Topic"/>
    <x v="3"/>
    <x v="11"/>
    <x v="1"/>
  </r>
  <r>
    <s v="7.2 b)"/>
    <s v="Core Topic"/>
    <x v="3"/>
    <x v="11"/>
    <x v="1"/>
  </r>
  <r>
    <s v="7.2 c)"/>
    <s v="Core Topic"/>
    <x v="3"/>
    <x v="11"/>
    <x v="1"/>
  </r>
  <r>
    <s v="7.2 d)"/>
    <s v="Core Topic"/>
    <x v="3"/>
    <x v="11"/>
    <x v="1"/>
  </r>
  <r>
    <s v="7.3 a)"/>
    <s v="Core Topic"/>
    <x v="3"/>
    <x v="12"/>
    <x v="1"/>
  </r>
  <r>
    <s v="7.3 b)"/>
    <s v="Core Topic"/>
    <x v="3"/>
    <x v="12"/>
    <x v="1"/>
  </r>
  <r>
    <s v="7.3 c)"/>
    <s v="Core Topic"/>
    <x v="3"/>
    <x v="12"/>
    <x v="1"/>
  </r>
  <r>
    <s v="7.4 a)"/>
    <s v="Core Topic"/>
    <x v="3"/>
    <x v="13"/>
    <x v="1"/>
  </r>
  <r>
    <s v="7.4 b)"/>
    <s v="Core Topic"/>
    <x v="3"/>
    <x v="13"/>
    <x v="1"/>
  </r>
  <r>
    <s v="7.4 c)"/>
    <s v="Core Topic"/>
    <x v="3"/>
    <x v="13"/>
    <x v="1"/>
  </r>
  <r>
    <s v="7.4 d)"/>
    <s v="Core Topic"/>
    <x v="3"/>
    <x v="13"/>
    <x v="1"/>
  </r>
  <r>
    <s v="7.5.1 a)"/>
    <s v="Core Topic"/>
    <x v="3"/>
    <x v="14"/>
    <x v="1"/>
  </r>
  <r>
    <s v="7.5.1 b)"/>
    <s v="Core Topic"/>
    <x v="3"/>
    <x v="14"/>
    <x v="1"/>
  </r>
  <r>
    <s v="7.5.2 a)"/>
    <s v="Core Topic"/>
    <x v="3"/>
    <x v="14"/>
    <x v="1"/>
  </r>
  <r>
    <s v="7.5.2 b)"/>
    <s v="Core Topic"/>
    <x v="3"/>
    <x v="14"/>
    <x v="1"/>
  </r>
  <r>
    <s v="7.5.2 c)"/>
    <s v="Core Topic"/>
    <x v="3"/>
    <x v="14"/>
    <x v="1"/>
  </r>
  <r>
    <s v="7.5.3 a)"/>
    <s v="Core Topic"/>
    <x v="3"/>
    <x v="14"/>
    <x v="1"/>
  </r>
  <r>
    <s v="7.5.3 b)"/>
    <s v="Core Topic"/>
    <x v="3"/>
    <x v="14"/>
    <x v="1"/>
  </r>
  <r>
    <s v="7.5.3 c)"/>
    <s v="Core Topic"/>
    <x v="3"/>
    <x v="14"/>
    <x v="1"/>
  </r>
  <r>
    <s v="7.5.3 d)"/>
    <s v="Core Topic"/>
    <x v="3"/>
    <x v="14"/>
    <x v="1"/>
  </r>
  <r>
    <s v="7.5.3 e)"/>
    <s v="Core Topic"/>
    <x v="3"/>
    <x v="14"/>
    <x v="1"/>
  </r>
  <r>
    <s v="7.5.3 f)"/>
    <s v="Core Topic"/>
    <x v="3"/>
    <x v="14"/>
    <x v="1"/>
  </r>
  <r>
    <s v="7.5.3 ¶1"/>
    <s v="Core Topic"/>
    <x v="3"/>
    <x v="14"/>
    <x v="1"/>
  </r>
  <r>
    <s v="8.1 ¶1"/>
    <s v="Core Topic"/>
    <x v="4"/>
    <x v="15"/>
    <x v="1"/>
  </r>
  <r>
    <s v="8.1 ¶2"/>
    <s v="Core Topic"/>
    <x v="4"/>
    <x v="15"/>
    <x v="1"/>
  </r>
  <r>
    <s v="8.1 ¶3"/>
    <s v="Core Topic"/>
    <x v="4"/>
    <x v="15"/>
    <x v="1"/>
  </r>
  <r>
    <s v="8.1 ¶4"/>
    <s v="Core Topic"/>
    <x v="4"/>
    <x v="15"/>
    <x v="1"/>
  </r>
  <r>
    <s v="8.2 ¶1"/>
    <s v="Core Topic"/>
    <x v="4"/>
    <x v="16"/>
    <x v="1"/>
  </r>
  <r>
    <s v="8.2 ¶2"/>
    <s v="Core Topic"/>
    <x v="4"/>
    <x v="16"/>
    <x v="1"/>
  </r>
  <r>
    <s v="8.3 ¶1"/>
    <s v="Core Topic"/>
    <x v="4"/>
    <x v="17"/>
    <x v="1"/>
  </r>
  <r>
    <s v="8.3 ¶2"/>
    <s v="Core Topic"/>
    <x v="4"/>
    <x v="17"/>
    <x v="1"/>
  </r>
  <r>
    <s v="9.1 a)"/>
    <s v="Core Topic"/>
    <x v="5"/>
    <x v="18"/>
    <x v="1"/>
  </r>
  <r>
    <s v="9.1 b)"/>
    <s v="Core Topic"/>
    <x v="5"/>
    <x v="18"/>
    <x v="1"/>
  </r>
  <r>
    <s v="9.1 c)"/>
    <s v="Core Topic"/>
    <x v="5"/>
    <x v="18"/>
    <x v="1"/>
  </r>
  <r>
    <s v="9.1 d)"/>
    <s v="Core Topic"/>
    <x v="5"/>
    <x v="18"/>
    <x v="1"/>
  </r>
  <r>
    <s v="9.1 e)"/>
    <s v="Core Topic"/>
    <x v="5"/>
    <x v="18"/>
    <x v="1"/>
  </r>
  <r>
    <s v="9.1 f)"/>
    <s v="Core Topic"/>
    <x v="5"/>
    <x v="18"/>
    <x v="1"/>
  </r>
  <r>
    <s v="9.1 ¶1"/>
    <s v="Core Topic"/>
    <x v="5"/>
    <x v="18"/>
    <x v="1"/>
  </r>
  <r>
    <s v="9.1 ¶2"/>
    <s v="Core Topic"/>
    <x v="5"/>
    <x v="18"/>
    <x v="1"/>
  </r>
  <r>
    <s v="9.2.1 a) 1)"/>
    <s v="Core Topic"/>
    <x v="5"/>
    <x v="19"/>
    <x v="1"/>
  </r>
  <r>
    <s v="9.2.1 a) 2)"/>
    <s v="Core Topic"/>
    <x v="5"/>
    <x v="19"/>
    <x v="1"/>
  </r>
  <r>
    <s v="9.2.1 b)"/>
    <s v="Core Topic"/>
    <x v="5"/>
    <x v="19"/>
    <x v="1"/>
  </r>
  <r>
    <s v="9.2.2 ¶1"/>
    <s v="Core Topic"/>
    <x v="5"/>
    <x v="19"/>
    <x v="1"/>
  </r>
  <r>
    <s v="9.2.2 ¶2"/>
    <s v="Core Topic"/>
    <x v="5"/>
    <x v="19"/>
    <x v="1"/>
  </r>
  <r>
    <s v="9.2.2 a)"/>
    <s v="Core Topic"/>
    <x v="5"/>
    <x v="19"/>
    <x v="1"/>
  </r>
  <r>
    <s v="9.2.2 b)"/>
    <s v="Core Topic"/>
    <x v="5"/>
    <x v="19"/>
    <x v="1"/>
  </r>
  <r>
    <s v="9.2.2 c)"/>
    <s v="Core Topic"/>
    <x v="5"/>
    <x v="19"/>
    <x v="1"/>
  </r>
  <r>
    <s v="9.2.2 ¶3"/>
    <s v="Core Topic"/>
    <x v="5"/>
    <x v="19"/>
    <x v="1"/>
  </r>
  <r>
    <s v="9.3.1 ¶1"/>
    <s v="Core Topic"/>
    <x v="5"/>
    <x v="20"/>
    <x v="1"/>
  </r>
  <r>
    <s v="9.3.2 a)"/>
    <s v="Core Topic"/>
    <x v="5"/>
    <x v="20"/>
    <x v="1"/>
  </r>
  <r>
    <s v="9.3.2 b)"/>
    <s v="Core Topic"/>
    <x v="5"/>
    <x v="20"/>
    <x v="1"/>
  </r>
  <r>
    <s v="9.3.2 c)"/>
    <s v="Core Topic"/>
    <x v="5"/>
    <x v="20"/>
    <x v="1"/>
  </r>
  <r>
    <s v="9.3.2 d) 1)"/>
    <s v="Core Topic"/>
    <x v="5"/>
    <x v="20"/>
    <x v="1"/>
  </r>
  <r>
    <s v="9.3.2 d) 2)"/>
    <s v="Core Topic"/>
    <x v="5"/>
    <x v="20"/>
    <x v="1"/>
  </r>
  <r>
    <s v="9.3.2 d) 3)"/>
    <s v="Core Topic"/>
    <x v="5"/>
    <x v="20"/>
    <x v="1"/>
  </r>
  <r>
    <s v="9.3.2 d) 4)"/>
    <s v="Core Topic"/>
    <x v="5"/>
    <x v="20"/>
    <x v="1"/>
  </r>
  <r>
    <s v="9.3.2 e)"/>
    <s v="Core Topic"/>
    <x v="5"/>
    <x v="20"/>
    <x v="1"/>
  </r>
  <r>
    <s v="9.3.2 f)"/>
    <s v="Core Topic"/>
    <x v="5"/>
    <x v="20"/>
    <x v="1"/>
  </r>
  <r>
    <s v="9.3.2 g)"/>
    <s v="Core Topic"/>
    <x v="5"/>
    <x v="20"/>
    <x v="1"/>
  </r>
  <r>
    <s v="9.3.3 ¶1"/>
    <s v="Core Topic"/>
    <x v="5"/>
    <x v="20"/>
    <x v="1"/>
  </r>
  <r>
    <s v="9.3.3 ¶2"/>
    <s v="Core Topic"/>
    <x v="5"/>
    <x v="20"/>
    <x v="1"/>
  </r>
  <r>
    <s v="10.1 ¶1"/>
    <s v="Core Topic"/>
    <x v="6"/>
    <x v="21"/>
    <x v="1"/>
  </r>
  <r>
    <s v="10.2 a) 1)"/>
    <s v="Core Topic"/>
    <x v="6"/>
    <x v="22"/>
    <x v="1"/>
  </r>
  <r>
    <s v="10.2 a) 2)"/>
    <s v="Core Topic"/>
    <x v="6"/>
    <x v="22"/>
    <x v="1"/>
  </r>
  <r>
    <s v="10.2 b) 1)"/>
    <s v="Core Topic"/>
    <x v="6"/>
    <x v="22"/>
    <x v="1"/>
  </r>
  <r>
    <s v="10.2 b) 2)"/>
    <s v="Core Topic"/>
    <x v="6"/>
    <x v="22"/>
    <x v="1"/>
  </r>
  <r>
    <s v="10.2 b) 3)"/>
    <s v="Core Topic"/>
    <x v="6"/>
    <x v="22"/>
    <x v="1"/>
  </r>
  <r>
    <s v="10.2 c)"/>
    <s v="Core Topic"/>
    <x v="6"/>
    <x v="22"/>
    <x v="1"/>
  </r>
  <r>
    <s v="10.2 d)"/>
    <s v="Core Topic"/>
    <x v="6"/>
    <x v="22"/>
    <x v="1"/>
  </r>
  <r>
    <s v="10.2 e)"/>
    <s v="Core Topic"/>
    <x v="6"/>
    <x v="22"/>
    <x v="1"/>
  </r>
  <r>
    <s v="10.2 ¶1"/>
    <s v="Core Topic"/>
    <x v="6"/>
    <x v="22"/>
    <x v="1"/>
  </r>
  <r>
    <s v="10.2 f)"/>
    <s v="Core Topic"/>
    <x v="6"/>
    <x v="22"/>
    <x v="1"/>
  </r>
  <r>
    <s v="10.2 g)"/>
    <s v="Core Topic"/>
    <x v="6"/>
    <x v="22"/>
    <x v="1"/>
  </r>
  <r>
    <s v="A.5.1"/>
    <s v="Control"/>
    <x v="7"/>
    <x v="23"/>
    <x v="1"/>
  </r>
  <r>
    <s v="A.5.2"/>
    <s v="Control"/>
    <x v="7"/>
    <x v="23"/>
    <x v="1"/>
  </r>
  <r>
    <s v="A.5.3"/>
    <s v="Control"/>
    <x v="7"/>
    <x v="23"/>
    <x v="1"/>
  </r>
  <r>
    <s v="A.5.4"/>
    <s v="Control"/>
    <x v="7"/>
    <x v="23"/>
    <x v="1"/>
  </r>
  <r>
    <s v="A.5.5"/>
    <s v="Control"/>
    <x v="7"/>
    <x v="23"/>
    <x v="1"/>
  </r>
  <r>
    <s v="A.5.6"/>
    <s v="Control"/>
    <x v="7"/>
    <x v="23"/>
    <x v="1"/>
  </r>
  <r>
    <s v="A.5.7"/>
    <s v="Control"/>
    <x v="7"/>
    <x v="23"/>
    <x v="1"/>
  </r>
  <r>
    <s v="A.5.8"/>
    <s v="Control"/>
    <x v="7"/>
    <x v="23"/>
    <x v="1"/>
  </r>
  <r>
    <s v="A.5.9"/>
    <s v="Control"/>
    <x v="7"/>
    <x v="23"/>
    <x v="1"/>
  </r>
  <r>
    <s v="A.5.10"/>
    <s v="Control"/>
    <x v="7"/>
    <x v="23"/>
    <x v="1"/>
  </r>
  <r>
    <s v="A.5.11"/>
    <s v="Control"/>
    <x v="7"/>
    <x v="23"/>
    <x v="1"/>
  </r>
  <r>
    <s v="A.5.12"/>
    <s v="Control"/>
    <x v="7"/>
    <x v="23"/>
    <x v="1"/>
  </r>
  <r>
    <s v="A.5.13"/>
    <s v="Control"/>
    <x v="7"/>
    <x v="23"/>
    <x v="1"/>
  </r>
  <r>
    <s v="A.5.14"/>
    <s v="Control"/>
    <x v="7"/>
    <x v="23"/>
    <x v="1"/>
  </r>
  <r>
    <s v="A.5.15"/>
    <s v="Control"/>
    <x v="7"/>
    <x v="23"/>
    <x v="1"/>
  </r>
  <r>
    <s v="A.5.16"/>
    <s v="Control"/>
    <x v="7"/>
    <x v="23"/>
    <x v="1"/>
  </r>
  <r>
    <s v="A.5.17"/>
    <s v="Control"/>
    <x v="7"/>
    <x v="23"/>
    <x v="1"/>
  </r>
  <r>
    <s v="A.5.18"/>
    <s v="Control"/>
    <x v="7"/>
    <x v="23"/>
    <x v="1"/>
  </r>
  <r>
    <s v="A.5.19"/>
    <s v="Control"/>
    <x v="7"/>
    <x v="23"/>
    <x v="1"/>
  </r>
  <r>
    <s v="A.5.20"/>
    <s v="Control"/>
    <x v="7"/>
    <x v="23"/>
    <x v="1"/>
  </r>
  <r>
    <s v="A.5.21"/>
    <s v="Control"/>
    <x v="7"/>
    <x v="23"/>
    <x v="1"/>
  </r>
  <r>
    <s v="A.5.22"/>
    <s v="Control"/>
    <x v="7"/>
    <x v="23"/>
    <x v="1"/>
  </r>
  <r>
    <s v="A.5.23"/>
    <s v="Control"/>
    <x v="7"/>
    <x v="23"/>
    <x v="1"/>
  </r>
  <r>
    <s v="A.5.24"/>
    <s v="Control"/>
    <x v="7"/>
    <x v="23"/>
    <x v="1"/>
  </r>
  <r>
    <s v="A.5.25"/>
    <s v="Control"/>
    <x v="7"/>
    <x v="23"/>
    <x v="1"/>
  </r>
  <r>
    <s v="A.5.26"/>
    <s v="Control"/>
    <x v="7"/>
    <x v="23"/>
    <x v="1"/>
  </r>
  <r>
    <s v="A.5.27"/>
    <s v="Control"/>
    <x v="7"/>
    <x v="23"/>
    <x v="1"/>
  </r>
  <r>
    <s v="A.5.28"/>
    <s v="Control"/>
    <x v="7"/>
    <x v="23"/>
    <x v="1"/>
  </r>
  <r>
    <s v="A.5.29"/>
    <s v="Control"/>
    <x v="7"/>
    <x v="23"/>
    <x v="1"/>
  </r>
  <r>
    <s v="A.5.30"/>
    <s v="Control"/>
    <x v="7"/>
    <x v="23"/>
    <x v="1"/>
  </r>
  <r>
    <s v="A.5.31"/>
    <s v="Control"/>
    <x v="7"/>
    <x v="23"/>
    <x v="1"/>
  </r>
  <r>
    <s v="A.5.32"/>
    <s v="Control"/>
    <x v="7"/>
    <x v="23"/>
    <x v="1"/>
  </r>
  <r>
    <s v="A.5.33"/>
    <s v="Control"/>
    <x v="7"/>
    <x v="23"/>
    <x v="1"/>
  </r>
  <r>
    <s v="A.5.34"/>
    <s v="Control"/>
    <x v="7"/>
    <x v="23"/>
    <x v="1"/>
  </r>
  <r>
    <s v="A.5.35"/>
    <s v="Control"/>
    <x v="7"/>
    <x v="23"/>
    <x v="1"/>
  </r>
  <r>
    <s v="A.5.36"/>
    <s v="Control"/>
    <x v="7"/>
    <x v="23"/>
    <x v="1"/>
  </r>
  <r>
    <s v="A.5.37"/>
    <s v="Control"/>
    <x v="7"/>
    <x v="23"/>
    <x v="1"/>
  </r>
  <r>
    <s v="A.6.1"/>
    <s v="Control"/>
    <x v="7"/>
    <x v="24"/>
    <x v="1"/>
  </r>
  <r>
    <s v="A.6.2"/>
    <s v="Control"/>
    <x v="7"/>
    <x v="24"/>
    <x v="1"/>
  </r>
  <r>
    <s v="A.6.3"/>
    <s v="Control"/>
    <x v="7"/>
    <x v="24"/>
    <x v="1"/>
  </r>
  <r>
    <s v="A.6.4"/>
    <s v="Control"/>
    <x v="7"/>
    <x v="24"/>
    <x v="1"/>
  </r>
  <r>
    <s v="A.6.5"/>
    <s v="Control"/>
    <x v="7"/>
    <x v="24"/>
    <x v="1"/>
  </r>
  <r>
    <s v="A.6.6"/>
    <s v="Control"/>
    <x v="7"/>
    <x v="24"/>
    <x v="1"/>
  </r>
  <r>
    <s v="A.6.7"/>
    <s v="Control"/>
    <x v="7"/>
    <x v="24"/>
    <x v="1"/>
  </r>
  <r>
    <s v="A.6.8"/>
    <s v="Control"/>
    <x v="7"/>
    <x v="24"/>
    <x v="1"/>
  </r>
  <r>
    <s v="A.7.1"/>
    <s v="Control"/>
    <x v="7"/>
    <x v="25"/>
    <x v="1"/>
  </r>
  <r>
    <s v="A.7.2"/>
    <s v="Control"/>
    <x v="7"/>
    <x v="25"/>
    <x v="1"/>
  </r>
  <r>
    <s v="A.7.3"/>
    <s v="Control"/>
    <x v="7"/>
    <x v="25"/>
    <x v="1"/>
  </r>
  <r>
    <s v="A.7.4"/>
    <s v="Control"/>
    <x v="7"/>
    <x v="25"/>
    <x v="1"/>
  </r>
  <r>
    <s v="A.7.5"/>
    <s v="Control"/>
    <x v="7"/>
    <x v="25"/>
    <x v="1"/>
  </r>
  <r>
    <s v="A.7.6"/>
    <s v="Control"/>
    <x v="7"/>
    <x v="25"/>
    <x v="1"/>
  </r>
  <r>
    <s v="A.7.7"/>
    <s v="Control"/>
    <x v="7"/>
    <x v="25"/>
    <x v="1"/>
  </r>
  <r>
    <s v="A.7.8"/>
    <s v="Control"/>
    <x v="7"/>
    <x v="25"/>
    <x v="1"/>
  </r>
  <r>
    <s v="A.7.9"/>
    <s v="Control"/>
    <x v="7"/>
    <x v="25"/>
    <x v="1"/>
  </r>
  <r>
    <s v="A.7.10"/>
    <s v="Control"/>
    <x v="7"/>
    <x v="25"/>
    <x v="1"/>
  </r>
  <r>
    <s v="A.7.11"/>
    <s v="Control"/>
    <x v="7"/>
    <x v="25"/>
    <x v="1"/>
  </r>
  <r>
    <s v="A.7.12"/>
    <s v="Control"/>
    <x v="7"/>
    <x v="25"/>
    <x v="1"/>
  </r>
  <r>
    <s v="A.7.13"/>
    <s v="Control"/>
    <x v="7"/>
    <x v="25"/>
    <x v="1"/>
  </r>
  <r>
    <s v="A.7.14"/>
    <s v="Control"/>
    <x v="7"/>
    <x v="25"/>
    <x v="1"/>
  </r>
  <r>
    <s v="A.8.1"/>
    <s v="Control"/>
    <x v="7"/>
    <x v="26"/>
    <x v="1"/>
  </r>
  <r>
    <s v="A.8.2"/>
    <s v="Control"/>
    <x v="7"/>
    <x v="26"/>
    <x v="1"/>
  </r>
  <r>
    <s v="A.8.3"/>
    <s v="Control"/>
    <x v="7"/>
    <x v="26"/>
    <x v="1"/>
  </r>
  <r>
    <s v="A.8.4"/>
    <s v="Control"/>
    <x v="7"/>
    <x v="26"/>
    <x v="1"/>
  </r>
  <r>
    <s v="A.8.5"/>
    <s v="Control"/>
    <x v="7"/>
    <x v="26"/>
    <x v="1"/>
  </r>
  <r>
    <s v="A.8.6"/>
    <s v="Control"/>
    <x v="7"/>
    <x v="26"/>
    <x v="1"/>
  </r>
  <r>
    <s v="A.8.7"/>
    <s v="Control"/>
    <x v="7"/>
    <x v="26"/>
    <x v="1"/>
  </r>
  <r>
    <s v="A.8.8"/>
    <s v="Control"/>
    <x v="7"/>
    <x v="26"/>
    <x v="1"/>
  </r>
  <r>
    <s v="A.8.9"/>
    <s v="Control"/>
    <x v="7"/>
    <x v="26"/>
    <x v="1"/>
  </r>
  <r>
    <s v="A.8.10"/>
    <s v="Control"/>
    <x v="7"/>
    <x v="26"/>
    <x v="1"/>
  </r>
  <r>
    <s v="A.8.11"/>
    <s v="Control"/>
    <x v="7"/>
    <x v="26"/>
    <x v="1"/>
  </r>
  <r>
    <s v="A.8.12"/>
    <s v="Control"/>
    <x v="7"/>
    <x v="26"/>
    <x v="1"/>
  </r>
  <r>
    <s v="A.8.13"/>
    <s v="Control"/>
    <x v="7"/>
    <x v="26"/>
    <x v="1"/>
  </r>
  <r>
    <s v="A.8.14"/>
    <s v="Control"/>
    <x v="7"/>
    <x v="26"/>
    <x v="1"/>
  </r>
  <r>
    <s v="A.8.15"/>
    <s v="Control"/>
    <x v="7"/>
    <x v="26"/>
    <x v="1"/>
  </r>
  <r>
    <s v="A.8.16"/>
    <s v="Control"/>
    <x v="7"/>
    <x v="26"/>
    <x v="1"/>
  </r>
  <r>
    <s v="A.8.17"/>
    <s v="Control"/>
    <x v="7"/>
    <x v="26"/>
    <x v="1"/>
  </r>
  <r>
    <s v="A.8.18"/>
    <s v="Control"/>
    <x v="7"/>
    <x v="26"/>
    <x v="1"/>
  </r>
  <r>
    <s v="A.8.19"/>
    <s v="Control"/>
    <x v="7"/>
    <x v="26"/>
    <x v="1"/>
  </r>
  <r>
    <s v="A.8.20"/>
    <s v="Control"/>
    <x v="7"/>
    <x v="26"/>
    <x v="1"/>
  </r>
  <r>
    <s v="A.8.21"/>
    <s v="Control"/>
    <x v="7"/>
    <x v="26"/>
    <x v="1"/>
  </r>
  <r>
    <s v="A.8.22"/>
    <s v="Control"/>
    <x v="7"/>
    <x v="26"/>
    <x v="1"/>
  </r>
  <r>
    <s v="A.8.23"/>
    <s v="Control"/>
    <x v="7"/>
    <x v="26"/>
    <x v="1"/>
  </r>
  <r>
    <s v="A.8.24"/>
    <s v="Control"/>
    <x v="7"/>
    <x v="26"/>
    <x v="1"/>
  </r>
  <r>
    <s v="A.8.25"/>
    <s v="Control"/>
    <x v="7"/>
    <x v="26"/>
    <x v="1"/>
  </r>
  <r>
    <s v="A.8.26"/>
    <s v="Control"/>
    <x v="7"/>
    <x v="26"/>
    <x v="1"/>
  </r>
  <r>
    <s v="A.8.27"/>
    <s v="Control"/>
    <x v="7"/>
    <x v="26"/>
    <x v="1"/>
  </r>
  <r>
    <s v="A.8.28"/>
    <s v="Control"/>
    <x v="7"/>
    <x v="26"/>
    <x v="1"/>
  </r>
  <r>
    <s v="A.8.29"/>
    <s v="Control"/>
    <x v="7"/>
    <x v="26"/>
    <x v="1"/>
  </r>
  <r>
    <s v="A.8.30"/>
    <s v="Control"/>
    <x v="7"/>
    <x v="26"/>
    <x v="1"/>
  </r>
  <r>
    <s v="A.8.31"/>
    <s v="Control"/>
    <x v="7"/>
    <x v="26"/>
    <x v="1"/>
  </r>
  <r>
    <s v="A.8.32"/>
    <s v="Control"/>
    <x v="7"/>
    <x v="26"/>
    <x v="1"/>
  </r>
  <r>
    <s v="A.8.33"/>
    <s v="Control"/>
    <x v="7"/>
    <x v="26"/>
    <x v="1"/>
  </r>
  <r>
    <s v="A.8.34"/>
    <s v="Control"/>
    <x v="7"/>
    <x v="2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6792DA-2763-A042-98A7-D37222CAAD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42" firstHeaderRow="1" firstDataRow="1" firstDataCol="1"/>
  <pivotFields count="5">
    <pivotField showAll="0"/>
    <pivotField showAll="0"/>
    <pivotField axis="axisRow" showAll="0">
      <items count="9">
        <item x="0"/>
        <item x="1"/>
        <item x="2"/>
        <item x="3"/>
        <item x="4"/>
        <item x="5"/>
        <item x="6"/>
        <item x="7"/>
        <item t="default"/>
      </items>
    </pivotField>
    <pivotField axis="axisRow" showAll="0">
      <items count="28">
        <item sd="0" x="21"/>
        <item sd="0" x="22"/>
        <item x="0"/>
        <item sd="0" x="1"/>
        <item sd="0" x="2"/>
        <item sd="0" x="3"/>
        <item sd="0" x="23"/>
        <item sd="0" x="4"/>
        <item sd="0" x="5"/>
        <item sd="0" x="6"/>
        <item sd="0" x="24"/>
        <item sd="0" x="7"/>
        <item sd="0" x="8"/>
        <item sd="0" x="9"/>
        <item sd="0" x="25"/>
        <item sd="0" x="10"/>
        <item sd="0" x="11"/>
        <item sd="0" x="12"/>
        <item sd="0" x="13"/>
        <item sd="0" x="14"/>
        <item sd="0" x="26"/>
        <item sd="0" x="15"/>
        <item sd="0" x="16"/>
        <item sd="0" x="17"/>
        <item sd="0" x="18"/>
        <item sd="0" x="19"/>
        <item sd="0" x="20"/>
        <item t="default" sd="0"/>
      </items>
    </pivotField>
    <pivotField axis="axisRow" showAll="0">
      <items count="237">
        <item m="1" x="233"/>
        <item m="1" x="146"/>
        <item m="1" x="25"/>
        <item m="1" x="192"/>
        <item m="1" x="130"/>
        <item m="1" x="215"/>
        <item m="1" x="122"/>
        <item m="1" x="77"/>
        <item m="1" x="185"/>
        <item m="1" x="45"/>
        <item m="1" x="137"/>
        <item m="1" x="172"/>
        <item m="1" x="14"/>
        <item m="1" x="91"/>
        <item m="1" x="84"/>
        <item m="1" x="217"/>
        <item m="1" x="140"/>
        <item m="1" x="39"/>
        <item m="1" x="199"/>
        <item m="1" x="65"/>
        <item m="1" x="208"/>
        <item m="1" x="206"/>
        <item m="1" x="169"/>
        <item m="1" x="170"/>
        <item m="1" x="221"/>
        <item m="1" x="162"/>
        <item m="1" x="24"/>
        <item m="1" x="155"/>
        <item m="1" x="178"/>
        <item m="1" x="144"/>
        <item m="1" x="76"/>
        <item m="1" x="2"/>
        <item m="1" x="223"/>
        <item m="1" x="74"/>
        <item m="1" x="68"/>
        <item m="1" x="58"/>
        <item m="1" x="216"/>
        <item m="1" x="44"/>
        <item m="1" x="16"/>
        <item m="1" x="51"/>
        <item m="1" x="9"/>
        <item m="1" x="96"/>
        <item m="1" x="149"/>
        <item m="1" x="175"/>
        <item m="1" x="60"/>
        <item m="1" x="147"/>
        <item m="1" x="148"/>
        <item m="1" x="191"/>
        <item m="1" x="138"/>
        <item m="1" x="204"/>
        <item m="1" x="136"/>
        <item m="1" x="123"/>
        <item m="1" x="22"/>
        <item m="1" x="35"/>
        <item m="1" x="153"/>
        <item m="1" x="90"/>
        <item m="1" x="87"/>
        <item m="1" x="34"/>
        <item m="1" x="210"/>
        <item m="1" x="75"/>
        <item m="1" x="118"/>
        <item m="1" x="101"/>
        <item m="1" x="121"/>
        <item m="1" x="226"/>
        <item m="1" x="188"/>
        <item m="1" x="127"/>
        <item m="1" x="85"/>
        <item m="1" x="81"/>
        <item m="1" x="36"/>
        <item m="1" x="63"/>
        <item m="1" x="40"/>
        <item m="1" x="231"/>
        <item m="1" x="184"/>
        <item m="1" x="26"/>
        <item m="1" x="59"/>
        <item m="1" x="182"/>
        <item m="1" x="171"/>
        <item m="1" x="4"/>
        <item m="1" x="53"/>
        <item m="1" x="37"/>
        <item m="1" x="17"/>
        <item m="1" x="86"/>
        <item m="1" x="125"/>
        <item m="1" x="106"/>
        <item m="1" x="28"/>
        <item m="1" x="202"/>
        <item m="1" x="103"/>
        <item m="1" x="230"/>
        <item m="1" x="143"/>
        <item m="1" x="158"/>
        <item m="1" x="7"/>
        <item m="1" x="5"/>
        <item m="1" x="194"/>
        <item m="1" x="220"/>
        <item m="1" x="173"/>
        <item m="1" x="94"/>
        <item m="1" x="126"/>
        <item m="1" x="142"/>
        <item m="1" x="15"/>
        <item m="1" x="197"/>
        <item m="1" x="124"/>
        <item m="1" x="116"/>
        <item m="1" x="177"/>
        <item m="1" x="66"/>
        <item m="1" x="186"/>
        <item m="1" x="62"/>
        <item m="1" x="159"/>
        <item m="1" x="211"/>
        <item m="1" x="10"/>
        <item m="1" x="72"/>
        <item m="1" x="218"/>
        <item m="1" x="105"/>
        <item m="1" x="129"/>
        <item m="1" x="82"/>
        <item m="1" x="57"/>
        <item m="1" x="190"/>
        <item m="1" x="27"/>
        <item m="1" x="79"/>
        <item m="1" x="12"/>
        <item m="1" x="8"/>
        <item m="1" x="198"/>
        <item m="1" x="183"/>
        <item m="1" x="157"/>
        <item m="1" x="235"/>
        <item m="1" x="212"/>
        <item m="1" x="166"/>
        <item m="1" x="108"/>
        <item m="1" x="89"/>
        <item m="1" x="32"/>
        <item m="1" x="19"/>
        <item m="1" x="30"/>
        <item m="1" x="109"/>
        <item m="1" x="41"/>
        <item m="1" x="114"/>
        <item m="1" x="139"/>
        <item m="1" x="167"/>
        <item m="1" x="225"/>
        <item m="1" x="21"/>
        <item m="1" x="133"/>
        <item m="1" x="97"/>
        <item m="1" x="156"/>
        <item m="1" x="120"/>
        <item m="1" x="145"/>
        <item m="1" x="73"/>
        <item m="1" x="187"/>
        <item m="1" x="52"/>
        <item m="1" x="18"/>
        <item m="1" x="23"/>
        <item m="1" x="131"/>
        <item m="1" x="104"/>
        <item m="1" x="98"/>
        <item m="1" x="196"/>
        <item m="1" x="42"/>
        <item m="1" x="112"/>
        <item m="1" x="168"/>
        <item m="1" x="214"/>
        <item m="1" x="152"/>
        <item m="1" x="161"/>
        <item m="1" x="205"/>
        <item m="1" x="93"/>
        <item m="1" x="201"/>
        <item m="1" x="64"/>
        <item m="1" x="102"/>
        <item m="1" x="69"/>
        <item m="1" x="33"/>
        <item m="1" x="219"/>
        <item m="1" x="135"/>
        <item m="1" x="150"/>
        <item m="1" x="78"/>
        <item m="1" x="181"/>
        <item m="1" x="117"/>
        <item m="1" x="151"/>
        <item m="1" x="50"/>
        <item m="1" x="134"/>
        <item m="1" x="119"/>
        <item m="1" x="227"/>
        <item m="1" x="67"/>
        <item m="1" x="203"/>
        <item m="1" x="111"/>
        <item m="1" x="56"/>
        <item m="1" x="54"/>
        <item m="1" x="70"/>
        <item m="1" x="99"/>
        <item m="1" x="13"/>
        <item m="1" x="110"/>
        <item m="1" x="38"/>
        <item m="1" x="92"/>
        <item m="1" x="20"/>
        <item m="1" x="48"/>
        <item m="1" x="234"/>
        <item m="1" x="49"/>
        <item m="1" x="141"/>
        <item m="1" x="95"/>
        <item m="1" x="55"/>
        <item m="1" x="128"/>
        <item m="1" x="107"/>
        <item m="1" x="80"/>
        <item m="1" x="115"/>
        <item m="1" x="83"/>
        <item m="1" x="61"/>
        <item m="1" x="189"/>
        <item m="1" x="31"/>
        <item m="1" x="222"/>
        <item m="1" x="154"/>
        <item m="1" x="232"/>
        <item m="1" x="209"/>
        <item m="1" x="180"/>
        <item m="1" x="100"/>
        <item m="1" x="71"/>
        <item m="1" x="200"/>
        <item m="1" x="113"/>
        <item m="1" x="43"/>
        <item m="1" x="88"/>
        <item m="1" x="47"/>
        <item m="1" x="207"/>
        <item m="1" x="176"/>
        <item m="1" x="3"/>
        <item m="1" x="228"/>
        <item m="1" x="165"/>
        <item m="1" x="160"/>
        <item m="1" x="179"/>
        <item m="1" x="6"/>
        <item m="1" x="163"/>
        <item m="1" x="193"/>
        <item m="1" x="29"/>
        <item m="1" x="229"/>
        <item m="1" x="224"/>
        <item m="1" x="195"/>
        <item m="1" x="132"/>
        <item m="1" x="174"/>
        <item m="1" x="11"/>
        <item m="1" x="213"/>
        <item m="1" x="164"/>
        <item m="1" x="46"/>
        <item sd="0" x="0"/>
        <item x="1"/>
        <item t="default"/>
      </items>
    </pivotField>
  </pivotFields>
  <rowFields count="3">
    <field x="2"/>
    <field x="3"/>
    <field x="4"/>
  </rowFields>
  <rowItems count="37">
    <i>
      <x/>
    </i>
    <i r="1">
      <x v="2"/>
    </i>
    <i r="2">
      <x v="234"/>
    </i>
    <i r="1">
      <x v="3"/>
    </i>
    <i r="1">
      <x v="4"/>
    </i>
    <i r="1">
      <x v="5"/>
    </i>
    <i>
      <x v="1"/>
    </i>
    <i r="1">
      <x v="7"/>
    </i>
    <i r="1">
      <x v="8"/>
    </i>
    <i r="1">
      <x v="9"/>
    </i>
    <i>
      <x v="2"/>
    </i>
    <i r="1">
      <x v="11"/>
    </i>
    <i r="1">
      <x v="12"/>
    </i>
    <i r="1">
      <x v="13"/>
    </i>
    <i>
      <x v="3"/>
    </i>
    <i r="1">
      <x v="15"/>
    </i>
    <i r="1">
      <x v="16"/>
    </i>
    <i r="1">
      <x v="17"/>
    </i>
    <i r="1">
      <x v="18"/>
    </i>
    <i r="1">
      <x v="19"/>
    </i>
    <i>
      <x v="4"/>
    </i>
    <i r="1">
      <x v="21"/>
    </i>
    <i r="1">
      <x v="22"/>
    </i>
    <i r="1">
      <x v="23"/>
    </i>
    <i>
      <x v="5"/>
    </i>
    <i r="1">
      <x v="24"/>
    </i>
    <i r="1">
      <x v="25"/>
    </i>
    <i r="1">
      <x v="26"/>
    </i>
    <i>
      <x v="6"/>
    </i>
    <i r="1">
      <x/>
    </i>
    <i r="1">
      <x v="1"/>
    </i>
    <i>
      <x v="7"/>
    </i>
    <i r="1">
      <x v="6"/>
    </i>
    <i r="1">
      <x v="10"/>
    </i>
    <i r="1">
      <x v="14"/>
    </i>
    <i r="1">
      <x v="20"/>
    </i>
    <i t="grand">
      <x/>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708544-03CD-E042-9F18-DFA1C2DFED9C}" name="References" displayName="References" ref="A1:E235" totalsRowShown="0" headerRowDxfId="23" dataDxfId="22">
  <autoFilter ref="A1:E235" xr:uid="{00708544-03CD-E042-9F18-DFA1C2DFED9C}"/>
  <tableColumns count="5">
    <tableColumn id="1" xr3:uid="{C565809B-26A6-634D-B6F1-8848CF99BC4C}" name="Reference" dataDxfId="21"/>
    <tableColumn id="2" xr3:uid="{F205102E-53C5-704C-8CB5-73CB6F058CAA}" name="Type" dataDxfId="20"/>
    <tableColumn id="3" xr3:uid="{A060D968-54DB-2249-AB1C-AD28D0C2DB3F}" name="Clause" dataDxfId="19"/>
    <tableColumn id="4" xr3:uid="{DD152956-6E5B-C249-8582-D8B27CFA5A7F}" name="Subclause" dataDxfId="18"/>
    <tableColumn id="5" xr3:uid="{28F8512D-A1B7-D045-BFD0-A1662B3E2061}" name="Description" dataDxfId="1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69BE6A-08A9-074D-ACA9-B32A28D0A53E}" name="Deliverables" displayName="Deliverables" ref="A1:E144" totalsRowShown="0" headerRowDxfId="16" dataDxfId="15">
  <autoFilter ref="A1:E144" xr:uid="{6169BE6A-08A9-074D-ACA9-B32A28D0A53E}"/>
  <tableColumns count="5">
    <tableColumn id="1" xr3:uid="{03562762-D657-FF47-8DA1-B5A75E2888E5}" name="ID" dataDxfId="14"/>
    <tableColumn id="5" xr3:uid="{A68D34DF-B5CF-8F4E-BD53-1CB24C911C80}" name="Name" dataDxfId="13"/>
    <tableColumn id="2" xr3:uid="{3D7B4615-C24C-0B40-B791-F20B55F175DF}" name="Category" dataDxfId="12"/>
    <tableColumn id="3" xr3:uid="{986ECF57-006A-F343-AF15-A4AE40DEE139}" name="Type" dataDxfId="11"/>
    <tableColumn id="4" xr3:uid="{9ABC8B81-FA23-6946-AA69-E7FE95EAC9FA}" name="Citations" dataDxfId="1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096B-4E85-AE4F-A097-822D79BA4DCC}">
  <dimension ref="B1:B3"/>
  <sheetViews>
    <sheetView showGridLines="0" tabSelected="1" workbookViewId="0">
      <selection activeCell="B12" sqref="B12"/>
    </sheetView>
  </sheetViews>
  <sheetFormatPr baseColWidth="10" defaultRowHeight="15.75" x14ac:dyDescent="0.25"/>
  <cols>
    <col min="1" max="1" width="1.625" customWidth="1"/>
    <col min="2" max="2" width="118.875" customWidth="1"/>
  </cols>
  <sheetData>
    <row r="1" spans="2:2" ht="72" customHeight="1" x14ac:dyDescent="0.25">
      <c r="B1" s="14" t="s">
        <v>702</v>
      </c>
    </row>
    <row r="2" spans="2:2" ht="153" x14ac:dyDescent="0.25">
      <c r="B2" s="15" t="s">
        <v>703</v>
      </c>
    </row>
    <row r="3" spans="2:2" ht="38.25" x14ac:dyDescent="0.25">
      <c r="B3" s="15" t="s">
        <v>701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829D-DD27-8A42-A470-843089A548A1}">
  <dimension ref="A1:E42"/>
  <sheetViews>
    <sheetView showGridLines="0" workbookViewId="0">
      <selection activeCell="C7" sqref="C7"/>
    </sheetView>
  </sheetViews>
  <sheetFormatPr baseColWidth="10" defaultRowHeight="15.75" x14ac:dyDescent="0.25"/>
  <cols>
    <col min="2" max="2" width="3" customWidth="1"/>
    <col min="3" max="3" width="151.875" bestFit="1" customWidth="1"/>
    <col min="4" max="4" width="17" bestFit="1" customWidth="1"/>
    <col min="5" max="5" width="18" bestFit="1" customWidth="1"/>
  </cols>
  <sheetData>
    <row r="1" spans="1:5" ht="5.0999999999999996" customHeight="1" x14ac:dyDescent="0.25">
      <c r="A1" s="54"/>
      <c r="B1" s="54"/>
      <c r="C1" s="54"/>
      <c r="D1" s="54"/>
      <c r="E1" s="54"/>
    </row>
    <row r="2" spans="1:5" ht="26.25" x14ac:dyDescent="0.4">
      <c r="A2" s="54"/>
      <c r="B2" s="54"/>
      <c r="C2" s="55" t="s">
        <v>374</v>
      </c>
      <c r="D2" s="54"/>
      <c r="E2" s="54"/>
    </row>
    <row r="3" spans="1:5" ht="5.0999999999999996" customHeight="1" x14ac:dyDescent="0.25">
      <c r="A3" s="54"/>
      <c r="B3" s="54"/>
      <c r="C3" s="54"/>
      <c r="D3" s="54"/>
      <c r="E3" s="54"/>
    </row>
    <row r="5" spans="1:5" x14ac:dyDescent="0.25">
      <c r="C5" s="51" t="s">
        <v>704</v>
      </c>
    </row>
    <row r="6" spans="1:5" x14ac:dyDescent="0.25">
      <c r="C6" s="52" t="s">
        <v>319</v>
      </c>
    </row>
    <row r="7" spans="1:5" x14ac:dyDescent="0.25">
      <c r="C7" s="53" t="s">
        <v>314</v>
      </c>
    </row>
    <row r="8" spans="1:5" x14ac:dyDescent="0.25">
      <c r="C8" s="75" t="s">
        <v>373</v>
      </c>
    </row>
    <row r="9" spans="1:5" x14ac:dyDescent="0.25">
      <c r="C9" s="53" t="s">
        <v>315</v>
      </c>
    </row>
    <row r="10" spans="1:5" x14ac:dyDescent="0.25">
      <c r="C10" s="53" t="s">
        <v>316</v>
      </c>
    </row>
    <row r="11" spans="1:5" x14ac:dyDescent="0.25">
      <c r="C11" s="53" t="s">
        <v>317</v>
      </c>
    </row>
    <row r="12" spans="1:5" x14ac:dyDescent="0.25">
      <c r="C12" s="52" t="s">
        <v>318</v>
      </c>
    </row>
    <row r="13" spans="1:5" x14ac:dyDescent="0.25">
      <c r="C13" s="53" t="s">
        <v>321</v>
      </c>
    </row>
    <row r="14" spans="1:5" x14ac:dyDescent="0.25">
      <c r="C14" s="53" t="s">
        <v>322</v>
      </c>
    </row>
    <row r="15" spans="1:5" x14ac:dyDescent="0.25">
      <c r="C15" s="53" t="s">
        <v>323</v>
      </c>
    </row>
    <row r="16" spans="1:5" x14ac:dyDescent="0.25">
      <c r="C16" s="52" t="s">
        <v>320</v>
      </c>
    </row>
    <row r="17" spans="3:3" x14ac:dyDescent="0.25">
      <c r="C17" s="53" t="s">
        <v>324</v>
      </c>
    </row>
    <row r="18" spans="3:3" x14ac:dyDescent="0.25">
      <c r="C18" s="53" t="s">
        <v>341</v>
      </c>
    </row>
    <row r="19" spans="3:3" x14ac:dyDescent="0.25">
      <c r="C19" s="53" t="s">
        <v>342</v>
      </c>
    </row>
    <row r="20" spans="3:3" x14ac:dyDescent="0.25">
      <c r="C20" s="52" t="s">
        <v>348</v>
      </c>
    </row>
    <row r="21" spans="3:3" x14ac:dyDescent="0.25">
      <c r="C21" s="53" t="s">
        <v>343</v>
      </c>
    </row>
    <row r="22" spans="3:3" x14ac:dyDescent="0.25">
      <c r="C22" s="53" t="s">
        <v>344</v>
      </c>
    </row>
    <row r="23" spans="3:3" x14ac:dyDescent="0.25">
      <c r="C23" s="53" t="s">
        <v>345</v>
      </c>
    </row>
    <row r="24" spans="3:3" x14ac:dyDescent="0.25">
      <c r="C24" s="53" t="s">
        <v>346</v>
      </c>
    </row>
    <row r="25" spans="3:3" x14ac:dyDescent="0.25">
      <c r="C25" s="53" t="s">
        <v>347</v>
      </c>
    </row>
    <row r="26" spans="3:3" x14ac:dyDescent="0.25">
      <c r="C26" s="52" t="s">
        <v>349</v>
      </c>
    </row>
    <row r="27" spans="3:3" x14ac:dyDescent="0.25">
      <c r="C27" s="53" t="s">
        <v>350</v>
      </c>
    </row>
    <row r="28" spans="3:3" x14ac:dyDescent="0.25">
      <c r="C28" s="53" t="s">
        <v>351</v>
      </c>
    </row>
    <row r="29" spans="3:3" x14ac:dyDescent="0.25">
      <c r="C29" s="53" t="s">
        <v>352</v>
      </c>
    </row>
    <row r="30" spans="3:3" x14ac:dyDescent="0.25">
      <c r="C30" s="52" t="s">
        <v>360</v>
      </c>
    </row>
    <row r="31" spans="3:3" x14ac:dyDescent="0.25">
      <c r="C31" s="53" t="s">
        <v>353</v>
      </c>
    </row>
    <row r="32" spans="3:3" x14ac:dyDescent="0.25">
      <c r="C32" s="53" t="s">
        <v>362</v>
      </c>
    </row>
    <row r="33" spans="3:3" x14ac:dyDescent="0.25">
      <c r="C33" s="53" t="s">
        <v>363</v>
      </c>
    </row>
    <row r="34" spans="3:3" x14ac:dyDescent="0.25">
      <c r="C34" s="52" t="s">
        <v>364</v>
      </c>
    </row>
    <row r="35" spans="3:3" x14ac:dyDescent="0.25">
      <c r="C35" s="53" t="s">
        <v>365</v>
      </c>
    </row>
    <row r="36" spans="3:3" x14ac:dyDescent="0.25">
      <c r="C36" s="53" t="s">
        <v>366</v>
      </c>
    </row>
    <row r="37" spans="3:3" x14ac:dyDescent="0.25">
      <c r="C37" s="52" t="s">
        <v>367</v>
      </c>
    </row>
    <row r="38" spans="3:3" x14ac:dyDescent="0.25">
      <c r="C38" s="53" t="s">
        <v>368</v>
      </c>
    </row>
    <row r="39" spans="3:3" x14ac:dyDescent="0.25">
      <c r="C39" s="53" t="s">
        <v>369</v>
      </c>
    </row>
    <row r="40" spans="3:3" x14ac:dyDescent="0.25">
      <c r="C40" s="53" t="s">
        <v>370</v>
      </c>
    </row>
    <row r="41" spans="3:3" x14ac:dyDescent="0.25">
      <c r="C41" s="53" t="s">
        <v>371</v>
      </c>
    </row>
    <row r="42" spans="3:3" x14ac:dyDescent="0.25">
      <c r="C42" s="52" t="s">
        <v>705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319AE-C550-4547-98A7-3FF0769A356B}">
  <dimension ref="A1:E235"/>
  <sheetViews>
    <sheetView workbookViewId="0">
      <selection activeCell="A23" sqref="A23"/>
    </sheetView>
  </sheetViews>
  <sheetFormatPr baseColWidth="10" defaultColWidth="10.875" defaultRowHeight="15.75" x14ac:dyDescent="0.25"/>
  <cols>
    <col min="1" max="1" width="11.875" style="2" customWidth="1"/>
    <col min="2" max="2" width="14" style="2" customWidth="1"/>
    <col min="3" max="3" width="25.125" style="2" bestFit="1" customWidth="1"/>
    <col min="4" max="4" width="64.5" style="2" bestFit="1" customWidth="1"/>
    <col min="5" max="5" width="50.125" style="2" customWidth="1"/>
    <col min="6" max="6" width="255.875" style="2" bestFit="1" customWidth="1"/>
    <col min="7" max="16384" width="10.875" style="2"/>
  </cols>
  <sheetData>
    <row r="1" spans="1:5" x14ac:dyDescent="0.25">
      <c r="A1" s="2" t="s">
        <v>87</v>
      </c>
      <c r="B1" s="2" t="s">
        <v>0</v>
      </c>
      <c r="C1" s="2" t="s">
        <v>312</v>
      </c>
      <c r="D1" s="2" t="s">
        <v>313</v>
      </c>
      <c r="E1" s="2" t="s">
        <v>311</v>
      </c>
    </row>
    <row r="2" spans="1:5" ht="63" x14ac:dyDescent="0.25">
      <c r="A2" s="2" t="s">
        <v>103</v>
      </c>
      <c r="B2" s="2" t="s">
        <v>104</v>
      </c>
      <c r="C2" s="2" t="s">
        <v>319</v>
      </c>
      <c r="D2" s="49" t="s">
        <v>314</v>
      </c>
      <c r="E2" s="57" t="s">
        <v>373</v>
      </c>
    </row>
    <row r="3" spans="1:5" x14ac:dyDescent="0.25">
      <c r="A3" s="2" t="s">
        <v>89</v>
      </c>
      <c r="B3" s="2" t="s">
        <v>104</v>
      </c>
      <c r="C3" s="2" t="s">
        <v>319</v>
      </c>
      <c r="D3" s="2" t="s">
        <v>315</v>
      </c>
      <c r="E3" s="50"/>
    </row>
    <row r="4" spans="1:5" x14ac:dyDescent="0.25">
      <c r="A4" s="2" t="s">
        <v>90</v>
      </c>
      <c r="B4" s="2" t="s">
        <v>104</v>
      </c>
      <c r="C4" s="2" t="s">
        <v>319</v>
      </c>
      <c r="D4" s="2" t="s">
        <v>315</v>
      </c>
      <c r="E4" s="50"/>
    </row>
    <row r="5" spans="1:5" x14ac:dyDescent="0.25">
      <c r="A5" s="2" t="s">
        <v>105</v>
      </c>
      <c r="B5" s="2" t="s">
        <v>104</v>
      </c>
      <c r="C5" s="2" t="s">
        <v>319</v>
      </c>
      <c r="D5" s="2" t="s">
        <v>315</v>
      </c>
      <c r="E5" s="50"/>
    </row>
    <row r="6" spans="1:5" x14ac:dyDescent="0.25">
      <c r="A6" s="2" t="s">
        <v>106</v>
      </c>
      <c r="B6" s="2" t="s">
        <v>104</v>
      </c>
      <c r="C6" s="2" t="s">
        <v>319</v>
      </c>
      <c r="D6" s="2" t="s">
        <v>316</v>
      </c>
      <c r="E6" s="50"/>
    </row>
    <row r="7" spans="1:5" x14ac:dyDescent="0.25">
      <c r="A7" s="2" t="s">
        <v>107</v>
      </c>
      <c r="B7" s="2" t="s">
        <v>104</v>
      </c>
      <c r="C7" s="2" t="s">
        <v>319</v>
      </c>
      <c r="D7" s="2" t="s">
        <v>316</v>
      </c>
      <c r="E7" s="50"/>
    </row>
    <row r="8" spans="1:5" x14ac:dyDescent="0.25">
      <c r="A8" s="2" t="s">
        <v>108</v>
      </c>
      <c r="B8" s="2" t="s">
        <v>104</v>
      </c>
      <c r="C8" s="2" t="s">
        <v>319</v>
      </c>
      <c r="D8" s="2" t="s">
        <v>316</v>
      </c>
      <c r="E8" s="50"/>
    </row>
    <row r="9" spans="1:5" x14ac:dyDescent="0.25">
      <c r="A9" s="2" t="s">
        <v>109</v>
      </c>
      <c r="B9" s="2" t="s">
        <v>104</v>
      </c>
      <c r="C9" s="2" t="s">
        <v>319</v>
      </c>
      <c r="D9" s="2" t="s">
        <v>316</v>
      </c>
      <c r="E9" s="50"/>
    </row>
    <row r="10" spans="1:5" x14ac:dyDescent="0.25">
      <c r="A10" s="2" t="s">
        <v>110</v>
      </c>
      <c r="B10" s="2" t="s">
        <v>104</v>
      </c>
      <c r="C10" s="2" t="s">
        <v>319</v>
      </c>
      <c r="D10" s="2" t="s">
        <v>316</v>
      </c>
    </row>
    <row r="11" spans="1:5" x14ac:dyDescent="0.25">
      <c r="A11" s="2" t="s">
        <v>111</v>
      </c>
      <c r="B11" s="2" t="s">
        <v>104</v>
      </c>
      <c r="C11" s="2" t="s">
        <v>319</v>
      </c>
      <c r="D11" s="2" t="s">
        <v>317</v>
      </c>
      <c r="E11" s="50"/>
    </row>
    <row r="12" spans="1:5" x14ac:dyDescent="0.25">
      <c r="A12" s="2" t="s">
        <v>112</v>
      </c>
      <c r="B12" s="2" t="s">
        <v>104</v>
      </c>
      <c r="C12" s="2" t="s">
        <v>318</v>
      </c>
      <c r="D12" s="2" t="s">
        <v>321</v>
      </c>
      <c r="E12" s="50"/>
    </row>
    <row r="13" spans="1:5" x14ac:dyDescent="0.25">
      <c r="A13" s="2" t="s">
        <v>113</v>
      </c>
      <c r="B13" s="2" t="s">
        <v>104</v>
      </c>
      <c r="C13" s="2" t="s">
        <v>318</v>
      </c>
      <c r="D13" s="2" t="s">
        <v>321</v>
      </c>
      <c r="E13" s="50"/>
    </row>
    <row r="14" spans="1:5" x14ac:dyDescent="0.25">
      <c r="A14" s="2" t="s">
        <v>114</v>
      </c>
      <c r="B14" s="2" t="s">
        <v>104</v>
      </c>
      <c r="C14" s="2" t="s">
        <v>318</v>
      </c>
      <c r="D14" s="2" t="s">
        <v>321</v>
      </c>
      <c r="E14" s="50"/>
    </row>
    <row r="15" spans="1:5" x14ac:dyDescent="0.25">
      <c r="A15" s="2" t="s">
        <v>115</v>
      </c>
      <c r="B15" s="2" t="s">
        <v>104</v>
      </c>
      <c r="C15" s="2" t="s">
        <v>318</v>
      </c>
      <c r="D15" s="2" t="s">
        <v>321</v>
      </c>
      <c r="E15" s="50"/>
    </row>
    <row r="16" spans="1:5" x14ac:dyDescent="0.25">
      <c r="A16" s="2" t="s">
        <v>116</v>
      </c>
      <c r="B16" s="2" t="s">
        <v>104</v>
      </c>
      <c r="C16" s="2" t="s">
        <v>318</v>
      </c>
      <c r="D16" s="2" t="s">
        <v>321</v>
      </c>
      <c r="E16" s="50"/>
    </row>
    <row r="17" spans="1:5" x14ac:dyDescent="0.25">
      <c r="A17" s="2" t="s">
        <v>117</v>
      </c>
      <c r="B17" s="2" t="s">
        <v>104</v>
      </c>
      <c r="C17" s="2" t="s">
        <v>318</v>
      </c>
      <c r="D17" s="2" t="s">
        <v>321</v>
      </c>
      <c r="E17" s="50"/>
    </row>
    <row r="18" spans="1:5" x14ac:dyDescent="0.25">
      <c r="A18" s="2" t="s">
        <v>118</v>
      </c>
      <c r="B18" s="2" t="s">
        <v>104</v>
      </c>
      <c r="C18" s="2" t="s">
        <v>318</v>
      </c>
      <c r="D18" s="2" t="s">
        <v>321</v>
      </c>
      <c r="E18" s="50"/>
    </row>
    <row r="19" spans="1:5" x14ac:dyDescent="0.25">
      <c r="A19" s="2" t="s">
        <v>119</v>
      </c>
      <c r="B19" s="2" t="s">
        <v>104</v>
      </c>
      <c r="C19" s="2" t="s">
        <v>318</v>
      </c>
      <c r="D19" s="2" t="s">
        <v>321</v>
      </c>
      <c r="E19" s="50"/>
    </row>
    <row r="20" spans="1:5" x14ac:dyDescent="0.25">
      <c r="A20" s="2" t="s">
        <v>120</v>
      </c>
      <c r="B20" s="2" t="s">
        <v>104</v>
      </c>
      <c r="C20" s="2" t="s">
        <v>318</v>
      </c>
      <c r="D20" s="2" t="s">
        <v>322</v>
      </c>
      <c r="E20" s="50"/>
    </row>
    <row r="21" spans="1:5" x14ac:dyDescent="0.25">
      <c r="A21" s="2" t="s">
        <v>121</v>
      </c>
      <c r="B21" s="2" t="s">
        <v>104</v>
      </c>
      <c r="C21" s="2" t="s">
        <v>318</v>
      </c>
      <c r="D21" s="2" t="s">
        <v>322</v>
      </c>
      <c r="E21" s="50"/>
    </row>
    <row r="22" spans="1:5" x14ac:dyDescent="0.25">
      <c r="A22" s="2" t="s">
        <v>122</v>
      </c>
      <c r="B22" s="2" t="s">
        <v>104</v>
      </c>
      <c r="C22" s="2" t="s">
        <v>318</v>
      </c>
      <c r="D22" s="2" t="s">
        <v>322</v>
      </c>
      <c r="E22" s="50"/>
    </row>
    <row r="23" spans="1:5" x14ac:dyDescent="0.25">
      <c r="A23" s="2" t="s">
        <v>123</v>
      </c>
      <c r="B23" s="2" t="s">
        <v>104</v>
      </c>
      <c r="C23" s="2" t="s">
        <v>318</v>
      </c>
      <c r="D23" s="2" t="s">
        <v>322</v>
      </c>
      <c r="E23" s="50"/>
    </row>
    <row r="24" spans="1:5" x14ac:dyDescent="0.25">
      <c r="A24" s="2" t="s">
        <v>124</v>
      </c>
      <c r="B24" s="2" t="s">
        <v>104</v>
      </c>
      <c r="C24" s="2" t="s">
        <v>318</v>
      </c>
      <c r="D24" s="2" t="s">
        <v>322</v>
      </c>
      <c r="E24" s="50"/>
    </row>
    <row r="25" spans="1:5" x14ac:dyDescent="0.25">
      <c r="A25" s="2" t="s">
        <v>125</v>
      </c>
      <c r="B25" s="2" t="s">
        <v>104</v>
      </c>
      <c r="C25" s="2" t="s">
        <v>318</v>
      </c>
      <c r="D25" s="2" t="s">
        <v>322</v>
      </c>
      <c r="E25" s="50"/>
    </row>
    <row r="26" spans="1:5" x14ac:dyDescent="0.25">
      <c r="A26" s="2" t="s">
        <v>126</v>
      </c>
      <c r="B26" s="2" t="s">
        <v>104</v>
      </c>
      <c r="C26" s="2" t="s">
        <v>318</v>
      </c>
      <c r="D26" s="2" t="s">
        <v>322</v>
      </c>
      <c r="E26" s="50"/>
    </row>
    <row r="27" spans="1:5" x14ac:dyDescent="0.25">
      <c r="A27" s="2" t="s">
        <v>127</v>
      </c>
      <c r="B27" s="2" t="s">
        <v>104</v>
      </c>
      <c r="C27" s="2" t="s">
        <v>318</v>
      </c>
      <c r="D27" s="2" t="s">
        <v>323</v>
      </c>
    </row>
    <row r="28" spans="1:5" x14ac:dyDescent="0.25">
      <c r="A28" s="2" t="s">
        <v>128</v>
      </c>
      <c r="B28" s="2" t="s">
        <v>104</v>
      </c>
      <c r="C28" s="2" t="s">
        <v>318</v>
      </c>
      <c r="D28" s="2" t="s">
        <v>323</v>
      </c>
      <c r="E28" s="50"/>
    </row>
    <row r="29" spans="1:5" x14ac:dyDescent="0.25">
      <c r="A29" s="2" t="s">
        <v>129</v>
      </c>
      <c r="B29" s="2" t="s">
        <v>104</v>
      </c>
      <c r="C29" s="2" t="s">
        <v>318</v>
      </c>
      <c r="D29" s="2" t="s">
        <v>323</v>
      </c>
      <c r="E29" s="50"/>
    </row>
    <row r="30" spans="1:5" x14ac:dyDescent="0.25">
      <c r="A30" s="2" t="s">
        <v>130</v>
      </c>
      <c r="B30" s="2" t="s">
        <v>104</v>
      </c>
      <c r="C30" s="2" t="s">
        <v>320</v>
      </c>
      <c r="D30" s="2" t="s">
        <v>324</v>
      </c>
      <c r="E30" s="50"/>
    </row>
    <row r="31" spans="1:5" x14ac:dyDescent="0.25">
      <c r="A31" s="2" t="s">
        <v>131</v>
      </c>
      <c r="B31" s="2" t="s">
        <v>104</v>
      </c>
      <c r="C31" s="2" t="s">
        <v>320</v>
      </c>
      <c r="D31" s="2" t="s">
        <v>324</v>
      </c>
      <c r="E31" s="50"/>
    </row>
    <row r="32" spans="1:5" x14ac:dyDescent="0.25">
      <c r="A32" s="2" t="s">
        <v>132</v>
      </c>
      <c r="B32" s="2" t="s">
        <v>104</v>
      </c>
      <c r="C32" s="2" t="s">
        <v>320</v>
      </c>
      <c r="D32" s="2" t="s">
        <v>324</v>
      </c>
      <c r="E32" s="50"/>
    </row>
    <row r="33" spans="1:5" x14ac:dyDescent="0.25">
      <c r="A33" s="2" t="s">
        <v>133</v>
      </c>
      <c r="B33" s="2" t="s">
        <v>104</v>
      </c>
      <c r="C33" s="2" t="s">
        <v>320</v>
      </c>
      <c r="D33" s="2" t="s">
        <v>324</v>
      </c>
      <c r="E33" s="50"/>
    </row>
    <row r="34" spans="1:5" x14ac:dyDescent="0.25">
      <c r="A34" s="2" t="s">
        <v>134</v>
      </c>
      <c r="B34" s="2" t="s">
        <v>104</v>
      </c>
      <c r="C34" s="2" t="s">
        <v>320</v>
      </c>
      <c r="D34" s="2" t="s">
        <v>324</v>
      </c>
      <c r="E34" s="50"/>
    </row>
    <row r="35" spans="1:5" x14ac:dyDescent="0.25">
      <c r="A35" s="2" t="s">
        <v>135</v>
      </c>
      <c r="B35" s="2" t="s">
        <v>104</v>
      </c>
      <c r="C35" s="2" t="s">
        <v>320</v>
      </c>
      <c r="D35" s="2" t="s">
        <v>324</v>
      </c>
      <c r="E35" s="50"/>
    </row>
    <row r="36" spans="1:5" x14ac:dyDescent="0.25">
      <c r="A36" s="2" t="s">
        <v>136</v>
      </c>
      <c r="B36" s="2" t="s">
        <v>104</v>
      </c>
      <c r="C36" s="2" t="s">
        <v>320</v>
      </c>
      <c r="D36" s="2" t="s">
        <v>324</v>
      </c>
      <c r="E36" s="50"/>
    </row>
    <row r="37" spans="1:5" x14ac:dyDescent="0.25">
      <c r="A37" s="2" t="s">
        <v>137</v>
      </c>
      <c r="B37" s="2" t="s">
        <v>104</v>
      </c>
      <c r="C37" s="2" t="s">
        <v>320</v>
      </c>
      <c r="D37" s="2" t="s">
        <v>324</v>
      </c>
      <c r="E37" s="50"/>
    </row>
    <row r="38" spans="1:5" x14ac:dyDescent="0.25">
      <c r="A38" s="2" t="s">
        <v>138</v>
      </c>
      <c r="B38" s="2" t="s">
        <v>104</v>
      </c>
      <c r="C38" s="2" t="s">
        <v>320</v>
      </c>
      <c r="D38" s="2" t="s">
        <v>324</v>
      </c>
      <c r="E38" s="50"/>
    </row>
    <row r="39" spans="1:5" x14ac:dyDescent="0.25">
      <c r="A39" s="2" t="s">
        <v>139</v>
      </c>
      <c r="B39" s="2" t="s">
        <v>104</v>
      </c>
      <c r="C39" s="2" t="s">
        <v>320</v>
      </c>
      <c r="D39" s="2" t="s">
        <v>324</v>
      </c>
      <c r="E39" s="50"/>
    </row>
    <row r="40" spans="1:5" x14ac:dyDescent="0.25">
      <c r="A40" s="2" t="s">
        <v>140</v>
      </c>
      <c r="B40" s="2" t="s">
        <v>104</v>
      </c>
      <c r="C40" s="2" t="s">
        <v>320</v>
      </c>
      <c r="D40" s="2" t="s">
        <v>324</v>
      </c>
      <c r="E40" s="50"/>
    </row>
    <row r="41" spans="1:5" x14ac:dyDescent="0.25">
      <c r="A41" s="2" t="s">
        <v>141</v>
      </c>
      <c r="B41" s="2" t="s">
        <v>104</v>
      </c>
      <c r="C41" s="2" t="s">
        <v>320</v>
      </c>
      <c r="D41" s="2" t="s">
        <v>324</v>
      </c>
      <c r="E41" s="50"/>
    </row>
    <row r="42" spans="1:5" x14ac:dyDescent="0.25">
      <c r="A42" s="2" t="s">
        <v>142</v>
      </c>
      <c r="B42" s="2" t="s">
        <v>104</v>
      </c>
      <c r="C42" s="2" t="s">
        <v>320</v>
      </c>
      <c r="D42" s="2" t="s">
        <v>324</v>
      </c>
      <c r="E42" s="50"/>
    </row>
    <row r="43" spans="1:5" x14ac:dyDescent="0.25">
      <c r="A43" s="2" t="s">
        <v>143</v>
      </c>
      <c r="B43" s="2" t="s">
        <v>104</v>
      </c>
      <c r="C43" s="2" t="s">
        <v>320</v>
      </c>
      <c r="D43" s="2" t="s">
        <v>324</v>
      </c>
      <c r="E43" s="50"/>
    </row>
    <row r="44" spans="1:5" x14ac:dyDescent="0.25">
      <c r="A44" s="2" t="s">
        <v>144</v>
      </c>
      <c r="B44" s="2" t="s">
        <v>104</v>
      </c>
      <c r="C44" s="2" t="s">
        <v>320</v>
      </c>
      <c r="D44" s="2" t="s">
        <v>324</v>
      </c>
      <c r="E44" s="50"/>
    </row>
    <row r="45" spans="1:5" x14ac:dyDescent="0.25">
      <c r="A45" s="2" t="s">
        <v>145</v>
      </c>
      <c r="B45" s="2" t="s">
        <v>104</v>
      </c>
      <c r="C45" s="2" t="s">
        <v>320</v>
      </c>
      <c r="D45" s="2" t="s">
        <v>324</v>
      </c>
      <c r="E45" s="50"/>
    </row>
    <row r="46" spans="1:5" x14ac:dyDescent="0.25">
      <c r="A46" s="2" t="s">
        <v>146</v>
      </c>
      <c r="B46" s="2" t="s">
        <v>104</v>
      </c>
      <c r="C46" s="2" t="s">
        <v>320</v>
      </c>
      <c r="D46" s="2" t="s">
        <v>324</v>
      </c>
    </row>
    <row r="47" spans="1:5" x14ac:dyDescent="0.25">
      <c r="A47" s="2" t="s">
        <v>147</v>
      </c>
      <c r="B47" s="2" t="s">
        <v>104</v>
      </c>
      <c r="C47" s="2" t="s">
        <v>320</v>
      </c>
      <c r="D47" s="2" t="s">
        <v>324</v>
      </c>
      <c r="E47" s="50"/>
    </row>
    <row r="48" spans="1:5" x14ac:dyDescent="0.25">
      <c r="A48" s="2" t="s">
        <v>148</v>
      </c>
      <c r="B48" s="2" t="s">
        <v>104</v>
      </c>
      <c r="C48" s="2" t="s">
        <v>320</v>
      </c>
      <c r="D48" s="2" t="s">
        <v>324</v>
      </c>
      <c r="E48" s="50"/>
    </row>
    <row r="49" spans="1:5" x14ac:dyDescent="0.25">
      <c r="A49" s="2" t="s">
        <v>149</v>
      </c>
      <c r="B49" s="2" t="s">
        <v>104</v>
      </c>
      <c r="C49" s="2" t="s">
        <v>320</v>
      </c>
      <c r="D49" s="2" t="s">
        <v>324</v>
      </c>
      <c r="E49" s="50"/>
    </row>
    <row r="50" spans="1:5" x14ac:dyDescent="0.25">
      <c r="A50" s="2" t="s">
        <v>150</v>
      </c>
      <c r="B50" s="2" t="s">
        <v>104</v>
      </c>
      <c r="C50" s="2" t="s">
        <v>320</v>
      </c>
      <c r="D50" s="2" t="s">
        <v>324</v>
      </c>
    </row>
    <row r="51" spans="1:5" x14ac:dyDescent="0.25">
      <c r="A51" s="2" t="s">
        <v>151</v>
      </c>
      <c r="B51" s="2" t="s">
        <v>104</v>
      </c>
      <c r="C51" s="2" t="s">
        <v>320</v>
      </c>
      <c r="D51" s="2" t="s">
        <v>324</v>
      </c>
      <c r="E51" s="50"/>
    </row>
    <row r="52" spans="1:5" x14ac:dyDescent="0.25">
      <c r="A52" s="2" t="s">
        <v>152</v>
      </c>
      <c r="B52" s="2" t="s">
        <v>104</v>
      </c>
      <c r="C52" s="2" t="s">
        <v>320</v>
      </c>
      <c r="D52" s="2" t="s">
        <v>324</v>
      </c>
      <c r="E52" s="50"/>
    </row>
    <row r="53" spans="1:5" x14ac:dyDescent="0.25">
      <c r="A53" s="2" t="s">
        <v>153</v>
      </c>
      <c r="B53" s="2" t="s">
        <v>104</v>
      </c>
      <c r="C53" s="2" t="s">
        <v>320</v>
      </c>
      <c r="D53" s="2" t="s">
        <v>324</v>
      </c>
    </row>
    <row r="54" spans="1:5" x14ac:dyDescent="0.25">
      <c r="A54" s="2" t="s">
        <v>325</v>
      </c>
      <c r="B54" s="2" t="s">
        <v>104</v>
      </c>
      <c r="C54" s="2" t="s">
        <v>320</v>
      </c>
      <c r="D54" s="2" t="s">
        <v>341</v>
      </c>
    </row>
    <row r="55" spans="1:5" x14ac:dyDescent="0.25">
      <c r="A55" s="2" t="s">
        <v>326</v>
      </c>
      <c r="B55" s="2" t="s">
        <v>104</v>
      </c>
      <c r="C55" s="2" t="s">
        <v>320</v>
      </c>
      <c r="D55" s="2" t="s">
        <v>341</v>
      </c>
      <c r="E55" s="50"/>
    </row>
    <row r="56" spans="1:5" x14ac:dyDescent="0.25">
      <c r="A56" s="2" t="s">
        <v>327</v>
      </c>
      <c r="B56" s="2" t="s">
        <v>104</v>
      </c>
      <c r="C56" s="2" t="s">
        <v>320</v>
      </c>
      <c r="D56" s="2" t="s">
        <v>341</v>
      </c>
      <c r="E56" s="50"/>
    </row>
    <row r="57" spans="1:5" x14ac:dyDescent="0.25">
      <c r="A57" s="2" t="s">
        <v>328</v>
      </c>
      <c r="B57" s="2" t="s">
        <v>104</v>
      </c>
      <c r="C57" s="2" t="s">
        <v>320</v>
      </c>
      <c r="D57" s="2" t="s">
        <v>341</v>
      </c>
      <c r="E57" s="50"/>
    </row>
    <row r="58" spans="1:5" x14ac:dyDescent="0.25">
      <c r="A58" s="2" t="s">
        <v>329</v>
      </c>
      <c r="B58" s="2" t="s">
        <v>104</v>
      </c>
      <c r="C58" s="2" t="s">
        <v>320</v>
      </c>
      <c r="D58" s="2" t="s">
        <v>341</v>
      </c>
      <c r="E58" s="50"/>
    </row>
    <row r="59" spans="1:5" x14ac:dyDescent="0.25">
      <c r="A59" s="2" t="s">
        <v>330</v>
      </c>
      <c r="B59" s="2" t="s">
        <v>104</v>
      </c>
      <c r="C59" s="2" t="s">
        <v>320</v>
      </c>
      <c r="D59" s="2" t="s">
        <v>341</v>
      </c>
      <c r="E59" s="50"/>
    </row>
    <row r="60" spans="1:5" x14ac:dyDescent="0.25">
      <c r="A60" s="2" t="s">
        <v>331</v>
      </c>
      <c r="B60" s="2" t="s">
        <v>104</v>
      </c>
      <c r="C60" s="2" t="s">
        <v>320</v>
      </c>
      <c r="D60" s="2" t="s">
        <v>341</v>
      </c>
      <c r="E60" s="50"/>
    </row>
    <row r="61" spans="1:5" x14ac:dyDescent="0.25">
      <c r="A61" s="2" t="s">
        <v>332</v>
      </c>
      <c r="B61" s="2" t="s">
        <v>104</v>
      </c>
      <c r="C61" s="2" t="s">
        <v>320</v>
      </c>
      <c r="D61" s="2" t="s">
        <v>341</v>
      </c>
      <c r="E61" s="50"/>
    </row>
    <row r="62" spans="1:5" x14ac:dyDescent="0.25">
      <c r="A62" s="2" t="s">
        <v>333</v>
      </c>
      <c r="B62" s="2" t="s">
        <v>104</v>
      </c>
      <c r="C62" s="2" t="s">
        <v>320</v>
      </c>
      <c r="D62" s="2" t="s">
        <v>341</v>
      </c>
    </row>
    <row r="63" spans="1:5" x14ac:dyDescent="0.25">
      <c r="A63" s="2" t="s">
        <v>334</v>
      </c>
      <c r="B63" s="2" t="s">
        <v>104</v>
      </c>
      <c r="C63" s="2" t="s">
        <v>320</v>
      </c>
      <c r="D63" s="2" t="s">
        <v>341</v>
      </c>
      <c r="E63" s="50"/>
    </row>
    <row r="64" spans="1:5" x14ac:dyDescent="0.25">
      <c r="A64" s="2" t="s">
        <v>335</v>
      </c>
      <c r="B64" s="2" t="s">
        <v>104</v>
      </c>
      <c r="C64" s="2" t="s">
        <v>320</v>
      </c>
      <c r="D64" s="2" t="s">
        <v>341</v>
      </c>
      <c r="E64" s="50"/>
    </row>
    <row r="65" spans="1:5" x14ac:dyDescent="0.25">
      <c r="A65" s="2" t="s">
        <v>336</v>
      </c>
      <c r="B65" s="2" t="s">
        <v>104</v>
      </c>
      <c r="C65" s="2" t="s">
        <v>320</v>
      </c>
      <c r="D65" s="2" t="s">
        <v>341</v>
      </c>
      <c r="E65" s="50"/>
    </row>
    <row r="66" spans="1:5" x14ac:dyDescent="0.25">
      <c r="A66" s="2" t="s">
        <v>337</v>
      </c>
      <c r="B66" s="2" t="s">
        <v>104</v>
      </c>
      <c r="C66" s="2" t="s">
        <v>320</v>
      </c>
      <c r="D66" s="2" t="s">
        <v>341</v>
      </c>
      <c r="E66" s="50"/>
    </row>
    <row r="67" spans="1:5" x14ac:dyDescent="0.25">
      <c r="A67" s="2" t="s">
        <v>338</v>
      </c>
      <c r="B67" s="2" t="s">
        <v>104</v>
      </c>
      <c r="C67" s="2" t="s">
        <v>320</v>
      </c>
      <c r="D67" s="2" t="s">
        <v>341</v>
      </c>
      <c r="E67" s="50"/>
    </row>
    <row r="68" spans="1:5" x14ac:dyDescent="0.25">
      <c r="A68" s="49" t="s">
        <v>339</v>
      </c>
      <c r="B68" s="2" t="s">
        <v>104</v>
      </c>
      <c r="C68" s="2" t="s">
        <v>320</v>
      </c>
      <c r="D68" s="2" t="s">
        <v>342</v>
      </c>
    </row>
    <row r="69" spans="1:5" x14ac:dyDescent="0.25">
      <c r="A69" s="49" t="s">
        <v>340</v>
      </c>
      <c r="B69" s="2" t="s">
        <v>104</v>
      </c>
      <c r="C69" s="2" t="s">
        <v>348</v>
      </c>
      <c r="D69" s="2" t="s">
        <v>343</v>
      </c>
      <c r="E69" s="50"/>
    </row>
    <row r="70" spans="1:5" x14ac:dyDescent="0.25">
      <c r="A70" s="2" t="s">
        <v>154</v>
      </c>
      <c r="B70" s="2" t="s">
        <v>104</v>
      </c>
      <c r="C70" s="2" t="s">
        <v>348</v>
      </c>
      <c r="D70" s="2" t="s">
        <v>344</v>
      </c>
      <c r="E70" s="50"/>
    </row>
    <row r="71" spans="1:5" x14ac:dyDescent="0.25">
      <c r="A71" s="2" t="s">
        <v>155</v>
      </c>
      <c r="B71" s="2" t="s">
        <v>104</v>
      </c>
      <c r="C71" s="2" t="s">
        <v>348</v>
      </c>
      <c r="D71" s="2" t="s">
        <v>344</v>
      </c>
      <c r="E71" s="50"/>
    </row>
    <row r="72" spans="1:5" x14ac:dyDescent="0.25">
      <c r="A72" s="2" t="s">
        <v>156</v>
      </c>
      <c r="B72" s="2" t="s">
        <v>104</v>
      </c>
      <c r="C72" s="2" t="s">
        <v>348</v>
      </c>
      <c r="D72" s="2" t="s">
        <v>344</v>
      </c>
      <c r="E72" s="50"/>
    </row>
    <row r="73" spans="1:5" x14ac:dyDescent="0.25">
      <c r="A73" s="2" t="s">
        <v>157</v>
      </c>
      <c r="B73" s="2" t="s">
        <v>104</v>
      </c>
      <c r="C73" s="2" t="s">
        <v>348</v>
      </c>
      <c r="D73" s="2" t="s">
        <v>344</v>
      </c>
      <c r="E73" s="50"/>
    </row>
    <row r="74" spans="1:5" x14ac:dyDescent="0.25">
      <c r="A74" s="2" t="s">
        <v>158</v>
      </c>
      <c r="B74" s="2" t="s">
        <v>104</v>
      </c>
      <c r="C74" s="2" t="s">
        <v>348</v>
      </c>
      <c r="D74" s="2" t="s">
        <v>345</v>
      </c>
      <c r="E74" s="50"/>
    </row>
    <row r="75" spans="1:5" x14ac:dyDescent="0.25">
      <c r="A75" s="2" t="s">
        <v>159</v>
      </c>
      <c r="B75" s="2" t="s">
        <v>104</v>
      </c>
      <c r="C75" s="2" t="s">
        <v>348</v>
      </c>
      <c r="D75" s="2" t="s">
        <v>345</v>
      </c>
      <c r="E75" s="50"/>
    </row>
    <row r="76" spans="1:5" x14ac:dyDescent="0.25">
      <c r="A76" s="2" t="s">
        <v>160</v>
      </c>
      <c r="B76" s="2" t="s">
        <v>104</v>
      </c>
      <c r="C76" s="2" t="s">
        <v>348</v>
      </c>
      <c r="D76" s="2" t="s">
        <v>345</v>
      </c>
      <c r="E76" s="50"/>
    </row>
    <row r="77" spans="1:5" x14ac:dyDescent="0.25">
      <c r="A77" s="2" t="s">
        <v>161</v>
      </c>
      <c r="B77" s="2" t="s">
        <v>104</v>
      </c>
      <c r="C77" s="2" t="s">
        <v>348</v>
      </c>
      <c r="D77" s="2" t="s">
        <v>346</v>
      </c>
      <c r="E77" s="50"/>
    </row>
    <row r="78" spans="1:5" x14ac:dyDescent="0.25">
      <c r="A78" s="2" t="s">
        <v>162</v>
      </c>
      <c r="B78" s="2" t="s">
        <v>104</v>
      </c>
      <c r="C78" s="2" t="s">
        <v>348</v>
      </c>
      <c r="D78" s="2" t="s">
        <v>346</v>
      </c>
      <c r="E78" s="50"/>
    </row>
    <row r="79" spans="1:5" x14ac:dyDescent="0.25">
      <c r="A79" s="2" t="s">
        <v>163</v>
      </c>
      <c r="B79" s="2" t="s">
        <v>104</v>
      </c>
      <c r="C79" s="2" t="s">
        <v>348</v>
      </c>
      <c r="D79" s="2" t="s">
        <v>346</v>
      </c>
      <c r="E79" s="50"/>
    </row>
    <row r="80" spans="1:5" x14ac:dyDescent="0.25">
      <c r="A80" s="2" t="s">
        <v>164</v>
      </c>
      <c r="B80" s="2" t="s">
        <v>104</v>
      </c>
      <c r="C80" s="2" t="s">
        <v>348</v>
      </c>
      <c r="D80" s="2" t="s">
        <v>346</v>
      </c>
      <c r="E80" s="50"/>
    </row>
    <row r="81" spans="1:5" x14ac:dyDescent="0.25">
      <c r="A81" s="2" t="s">
        <v>165</v>
      </c>
      <c r="B81" s="2" t="s">
        <v>104</v>
      </c>
      <c r="C81" s="2" t="s">
        <v>348</v>
      </c>
      <c r="D81" s="2" t="s">
        <v>347</v>
      </c>
      <c r="E81" s="50"/>
    </row>
    <row r="82" spans="1:5" x14ac:dyDescent="0.25">
      <c r="A82" s="2" t="s">
        <v>166</v>
      </c>
      <c r="B82" s="2" t="s">
        <v>104</v>
      </c>
      <c r="C82" s="2" t="s">
        <v>348</v>
      </c>
      <c r="D82" s="2" t="s">
        <v>347</v>
      </c>
      <c r="E82" s="50"/>
    </row>
    <row r="83" spans="1:5" x14ac:dyDescent="0.25">
      <c r="A83" s="2" t="s">
        <v>167</v>
      </c>
      <c r="B83" s="2" t="s">
        <v>104</v>
      </c>
      <c r="C83" s="2" t="s">
        <v>348</v>
      </c>
      <c r="D83" s="2" t="s">
        <v>347</v>
      </c>
      <c r="E83" s="50"/>
    </row>
    <row r="84" spans="1:5" x14ac:dyDescent="0.25">
      <c r="A84" s="2" t="s">
        <v>168</v>
      </c>
      <c r="B84" s="2" t="s">
        <v>104</v>
      </c>
      <c r="C84" s="2" t="s">
        <v>348</v>
      </c>
      <c r="D84" s="2" t="s">
        <v>347</v>
      </c>
      <c r="E84" s="50"/>
    </row>
    <row r="85" spans="1:5" x14ac:dyDescent="0.25">
      <c r="A85" s="2" t="s">
        <v>169</v>
      </c>
      <c r="B85" s="2" t="s">
        <v>104</v>
      </c>
      <c r="C85" s="2" t="s">
        <v>348</v>
      </c>
      <c r="D85" s="2" t="s">
        <v>347</v>
      </c>
      <c r="E85" s="50"/>
    </row>
    <row r="86" spans="1:5" x14ac:dyDescent="0.25">
      <c r="A86" s="2" t="s">
        <v>170</v>
      </c>
      <c r="B86" s="2" t="s">
        <v>104</v>
      </c>
      <c r="C86" s="2" t="s">
        <v>348</v>
      </c>
      <c r="D86" s="2" t="s">
        <v>347</v>
      </c>
      <c r="E86" s="50"/>
    </row>
    <row r="87" spans="1:5" x14ac:dyDescent="0.25">
      <c r="A87" s="2" t="s">
        <v>171</v>
      </c>
      <c r="B87" s="2" t="s">
        <v>104</v>
      </c>
      <c r="C87" s="2" t="s">
        <v>348</v>
      </c>
      <c r="D87" s="2" t="s">
        <v>347</v>
      </c>
      <c r="E87" s="50"/>
    </row>
    <row r="88" spans="1:5" x14ac:dyDescent="0.25">
      <c r="A88" s="2" t="s">
        <v>172</v>
      </c>
      <c r="B88" s="2" t="s">
        <v>104</v>
      </c>
      <c r="C88" s="2" t="s">
        <v>348</v>
      </c>
      <c r="D88" s="2" t="s">
        <v>347</v>
      </c>
      <c r="E88" s="50"/>
    </row>
    <row r="89" spans="1:5" x14ac:dyDescent="0.25">
      <c r="A89" s="2" t="s">
        <v>173</v>
      </c>
      <c r="B89" s="2" t="s">
        <v>104</v>
      </c>
      <c r="C89" s="2" t="s">
        <v>348</v>
      </c>
      <c r="D89" s="2" t="s">
        <v>347</v>
      </c>
      <c r="E89" s="50"/>
    </row>
    <row r="90" spans="1:5" x14ac:dyDescent="0.25">
      <c r="A90" s="2" t="s">
        <v>174</v>
      </c>
      <c r="B90" s="2" t="s">
        <v>104</v>
      </c>
      <c r="C90" s="2" t="s">
        <v>348</v>
      </c>
      <c r="D90" s="2" t="s">
        <v>347</v>
      </c>
      <c r="E90" s="50"/>
    </row>
    <row r="91" spans="1:5" x14ac:dyDescent="0.25">
      <c r="A91" s="2" t="s">
        <v>175</v>
      </c>
      <c r="B91" s="2" t="s">
        <v>104</v>
      </c>
      <c r="C91" s="2" t="s">
        <v>348</v>
      </c>
      <c r="D91" s="2" t="s">
        <v>347</v>
      </c>
      <c r="E91" s="50"/>
    </row>
    <row r="92" spans="1:5" x14ac:dyDescent="0.25">
      <c r="A92" s="2" t="s">
        <v>176</v>
      </c>
      <c r="B92" s="2" t="s">
        <v>104</v>
      </c>
      <c r="C92" s="2" t="s">
        <v>348</v>
      </c>
      <c r="D92" s="2" t="s">
        <v>347</v>
      </c>
      <c r="E92" s="50"/>
    </row>
    <row r="93" spans="1:5" x14ac:dyDescent="0.25">
      <c r="A93" s="2" t="s">
        <v>177</v>
      </c>
      <c r="B93" s="2" t="s">
        <v>104</v>
      </c>
      <c r="C93" s="2" t="s">
        <v>349</v>
      </c>
      <c r="D93" s="2" t="s">
        <v>350</v>
      </c>
      <c r="E93" s="50"/>
    </row>
    <row r="94" spans="1:5" x14ac:dyDescent="0.25">
      <c r="A94" s="2" t="s">
        <v>178</v>
      </c>
      <c r="B94" s="2" t="s">
        <v>104</v>
      </c>
      <c r="C94" s="2" t="s">
        <v>349</v>
      </c>
      <c r="D94" s="2" t="s">
        <v>350</v>
      </c>
    </row>
    <row r="95" spans="1:5" x14ac:dyDescent="0.25">
      <c r="A95" s="2" t="s">
        <v>179</v>
      </c>
      <c r="B95" s="2" t="s">
        <v>104</v>
      </c>
      <c r="C95" s="2" t="s">
        <v>349</v>
      </c>
      <c r="D95" s="2" t="s">
        <v>350</v>
      </c>
    </row>
    <row r="96" spans="1:5" x14ac:dyDescent="0.25">
      <c r="A96" s="2" t="s">
        <v>180</v>
      </c>
      <c r="B96" s="2" t="s">
        <v>104</v>
      </c>
      <c r="C96" s="2" t="s">
        <v>349</v>
      </c>
      <c r="D96" s="2" t="s">
        <v>350</v>
      </c>
    </row>
    <row r="97" spans="1:5" x14ac:dyDescent="0.25">
      <c r="A97" s="2" t="s">
        <v>181</v>
      </c>
      <c r="B97" s="2" t="s">
        <v>104</v>
      </c>
      <c r="C97" s="2" t="s">
        <v>349</v>
      </c>
      <c r="D97" s="2" t="s">
        <v>351</v>
      </c>
    </row>
    <row r="98" spans="1:5" x14ac:dyDescent="0.25">
      <c r="A98" s="2" t="s">
        <v>182</v>
      </c>
      <c r="B98" s="2" t="s">
        <v>104</v>
      </c>
      <c r="C98" s="2" t="s">
        <v>349</v>
      </c>
      <c r="D98" s="2" t="s">
        <v>351</v>
      </c>
    </row>
    <row r="99" spans="1:5" x14ac:dyDescent="0.25">
      <c r="A99" s="2" t="s">
        <v>183</v>
      </c>
      <c r="B99" s="2" t="s">
        <v>104</v>
      </c>
      <c r="C99" s="2" t="s">
        <v>349</v>
      </c>
      <c r="D99" s="2" t="s">
        <v>352</v>
      </c>
    </row>
    <row r="100" spans="1:5" x14ac:dyDescent="0.25">
      <c r="A100" s="2" t="s">
        <v>184</v>
      </c>
      <c r="B100" s="2" t="s">
        <v>104</v>
      </c>
      <c r="C100" s="2" t="s">
        <v>349</v>
      </c>
      <c r="D100" s="2" t="s">
        <v>352</v>
      </c>
    </row>
    <row r="101" spans="1:5" x14ac:dyDescent="0.25">
      <c r="A101" s="2" t="s">
        <v>185</v>
      </c>
      <c r="B101" s="2" t="s">
        <v>104</v>
      </c>
      <c r="C101" s="2" t="s">
        <v>360</v>
      </c>
      <c r="D101" s="2" t="s">
        <v>353</v>
      </c>
      <c r="E101" s="50"/>
    </row>
    <row r="102" spans="1:5" x14ac:dyDescent="0.25">
      <c r="A102" s="2" t="s">
        <v>354</v>
      </c>
      <c r="B102" s="2" t="s">
        <v>104</v>
      </c>
      <c r="C102" s="2" t="s">
        <v>360</v>
      </c>
      <c r="D102" s="2" t="s">
        <v>353</v>
      </c>
      <c r="E102" s="50"/>
    </row>
    <row r="103" spans="1:5" x14ac:dyDescent="0.25">
      <c r="A103" s="2" t="s">
        <v>355</v>
      </c>
      <c r="B103" s="2" t="s">
        <v>104</v>
      </c>
      <c r="C103" s="2" t="s">
        <v>360</v>
      </c>
      <c r="D103" s="2" t="s">
        <v>353</v>
      </c>
      <c r="E103" s="50"/>
    </row>
    <row r="104" spans="1:5" x14ac:dyDescent="0.25">
      <c r="A104" s="2" t="s">
        <v>356</v>
      </c>
      <c r="B104" s="2" t="s">
        <v>104</v>
      </c>
      <c r="C104" s="2" t="s">
        <v>360</v>
      </c>
      <c r="D104" s="2" t="s">
        <v>353</v>
      </c>
      <c r="E104" s="50"/>
    </row>
    <row r="105" spans="1:5" x14ac:dyDescent="0.25">
      <c r="A105" s="2" t="s">
        <v>357</v>
      </c>
      <c r="B105" s="2" t="s">
        <v>104</v>
      </c>
      <c r="C105" s="2" t="s">
        <v>360</v>
      </c>
      <c r="D105" s="2" t="s">
        <v>353</v>
      </c>
      <c r="E105" s="50"/>
    </row>
    <row r="106" spans="1:5" x14ac:dyDescent="0.25">
      <c r="A106" s="2" t="s">
        <v>358</v>
      </c>
      <c r="B106" s="2" t="s">
        <v>104</v>
      </c>
      <c r="C106" s="2" t="s">
        <v>360</v>
      </c>
      <c r="D106" s="2" t="s">
        <v>353</v>
      </c>
      <c r="E106" s="50"/>
    </row>
    <row r="107" spans="1:5" x14ac:dyDescent="0.25">
      <c r="A107" s="2" t="s">
        <v>359</v>
      </c>
      <c r="B107" s="2" t="s">
        <v>104</v>
      </c>
      <c r="C107" s="2" t="s">
        <v>360</v>
      </c>
      <c r="D107" s="2" t="s">
        <v>353</v>
      </c>
    </row>
    <row r="108" spans="1:5" x14ac:dyDescent="0.25">
      <c r="A108" s="2" t="s">
        <v>361</v>
      </c>
      <c r="B108" s="2" t="s">
        <v>104</v>
      </c>
      <c r="C108" s="2" t="s">
        <v>360</v>
      </c>
      <c r="D108" s="2" t="s">
        <v>353</v>
      </c>
    </row>
    <row r="109" spans="1:5" x14ac:dyDescent="0.25">
      <c r="A109" s="2" t="s">
        <v>186</v>
      </c>
      <c r="B109" s="2" t="s">
        <v>104</v>
      </c>
      <c r="C109" s="2" t="s">
        <v>360</v>
      </c>
      <c r="D109" s="2" t="s">
        <v>362</v>
      </c>
      <c r="E109" s="50"/>
    </row>
    <row r="110" spans="1:5" x14ac:dyDescent="0.25">
      <c r="A110" s="2" t="s">
        <v>187</v>
      </c>
      <c r="B110" s="2" t="s">
        <v>104</v>
      </c>
      <c r="C110" s="2" t="s">
        <v>360</v>
      </c>
      <c r="D110" s="2" t="s">
        <v>362</v>
      </c>
      <c r="E110" s="50"/>
    </row>
    <row r="111" spans="1:5" x14ac:dyDescent="0.25">
      <c r="A111" s="2" t="s">
        <v>188</v>
      </c>
      <c r="B111" s="2" t="s">
        <v>104</v>
      </c>
      <c r="C111" s="2" t="s">
        <v>360</v>
      </c>
      <c r="D111" s="2" t="s">
        <v>362</v>
      </c>
      <c r="E111" s="50"/>
    </row>
    <row r="112" spans="1:5" x14ac:dyDescent="0.25">
      <c r="A112" s="2" t="s">
        <v>189</v>
      </c>
      <c r="B112" s="2" t="s">
        <v>104</v>
      </c>
      <c r="C112" s="2" t="s">
        <v>360</v>
      </c>
      <c r="D112" s="2" t="s">
        <v>362</v>
      </c>
    </row>
    <row r="113" spans="1:5" x14ac:dyDescent="0.25">
      <c r="A113" s="2" t="s">
        <v>190</v>
      </c>
      <c r="B113" s="2" t="s">
        <v>104</v>
      </c>
      <c r="C113" s="2" t="s">
        <v>360</v>
      </c>
      <c r="D113" s="2" t="s">
        <v>362</v>
      </c>
    </row>
    <row r="114" spans="1:5" x14ac:dyDescent="0.25">
      <c r="A114" s="2" t="s">
        <v>191</v>
      </c>
      <c r="B114" s="2" t="s">
        <v>104</v>
      </c>
      <c r="C114" s="2" t="s">
        <v>360</v>
      </c>
      <c r="D114" s="2" t="s">
        <v>362</v>
      </c>
      <c r="E114" s="50"/>
    </row>
    <row r="115" spans="1:5" x14ac:dyDescent="0.25">
      <c r="A115" s="2" t="s">
        <v>192</v>
      </c>
      <c r="B115" s="2" t="s">
        <v>104</v>
      </c>
      <c r="C115" s="2" t="s">
        <v>360</v>
      </c>
      <c r="D115" s="2" t="s">
        <v>362</v>
      </c>
      <c r="E115" s="50"/>
    </row>
    <row r="116" spans="1:5" x14ac:dyDescent="0.25">
      <c r="A116" s="2" t="s">
        <v>193</v>
      </c>
      <c r="B116" s="2" t="s">
        <v>104</v>
      </c>
      <c r="C116" s="2" t="s">
        <v>360</v>
      </c>
      <c r="D116" s="2" t="s">
        <v>362</v>
      </c>
      <c r="E116" s="50"/>
    </row>
    <row r="117" spans="1:5" x14ac:dyDescent="0.25">
      <c r="A117" s="2" t="s">
        <v>194</v>
      </c>
      <c r="B117" s="2" t="s">
        <v>104</v>
      </c>
      <c r="C117" s="2" t="s">
        <v>360</v>
      </c>
      <c r="D117" s="2" t="s">
        <v>362</v>
      </c>
    </row>
    <row r="118" spans="1:5" x14ac:dyDescent="0.25">
      <c r="A118" s="2" t="s">
        <v>195</v>
      </c>
      <c r="B118" s="2" t="s">
        <v>104</v>
      </c>
      <c r="C118" s="2" t="s">
        <v>360</v>
      </c>
      <c r="D118" s="2" t="s">
        <v>363</v>
      </c>
    </row>
    <row r="119" spans="1:5" x14ac:dyDescent="0.25">
      <c r="A119" s="2" t="s">
        <v>196</v>
      </c>
      <c r="B119" s="2" t="s">
        <v>104</v>
      </c>
      <c r="C119" s="2" t="s">
        <v>360</v>
      </c>
      <c r="D119" s="2" t="s">
        <v>363</v>
      </c>
      <c r="E119" s="50"/>
    </row>
    <row r="120" spans="1:5" x14ac:dyDescent="0.25">
      <c r="A120" s="2" t="s">
        <v>197</v>
      </c>
      <c r="B120" s="2" t="s">
        <v>104</v>
      </c>
      <c r="C120" s="2" t="s">
        <v>360</v>
      </c>
      <c r="D120" s="2" t="s">
        <v>363</v>
      </c>
      <c r="E120" s="50"/>
    </row>
    <row r="121" spans="1:5" x14ac:dyDescent="0.25">
      <c r="A121" s="2" t="s">
        <v>198</v>
      </c>
      <c r="B121" s="2" t="s">
        <v>104</v>
      </c>
      <c r="C121" s="2" t="s">
        <v>360</v>
      </c>
      <c r="D121" s="2" t="s">
        <v>363</v>
      </c>
      <c r="E121" s="50"/>
    </row>
    <row r="122" spans="1:5" x14ac:dyDescent="0.25">
      <c r="A122" s="2" t="s">
        <v>199</v>
      </c>
      <c r="B122" s="2" t="s">
        <v>104</v>
      </c>
      <c r="C122" s="2" t="s">
        <v>360</v>
      </c>
      <c r="D122" s="2" t="s">
        <v>363</v>
      </c>
      <c r="E122" s="50"/>
    </row>
    <row r="123" spans="1:5" x14ac:dyDescent="0.25">
      <c r="A123" s="2" t="s">
        <v>200</v>
      </c>
      <c r="B123" s="2" t="s">
        <v>104</v>
      </c>
      <c r="C123" s="2" t="s">
        <v>360</v>
      </c>
      <c r="D123" s="2" t="s">
        <v>363</v>
      </c>
      <c r="E123" s="50"/>
    </row>
    <row r="124" spans="1:5" x14ac:dyDescent="0.25">
      <c r="A124" s="2" t="s">
        <v>201</v>
      </c>
      <c r="B124" s="2" t="s">
        <v>104</v>
      </c>
      <c r="C124" s="2" t="s">
        <v>360</v>
      </c>
      <c r="D124" s="2" t="s">
        <v>363</v>
      </c>
      <c r="E124" s="50"/>
    </row>
    <row r="125" spans="1:5" x14ac:dyDescent="0.25">
      <c r="A125" s="2" t="s">
        <v>202</v>
      </c>
      <c r="B125" s="2" t="s">
        <v>104</v>
      </c>
      <c r="C125" s="2" t="s">
        <v>360</v>
      </c>
      <c r="D125" s="2" t="s">
        <v>363</v>
      </c>
      <c r="E125" s="50"/>
    </row>
    <row r="126" spans="1:5" x14ac:dyDescent="0.25">
      <c r="A126" s="2" t="s">
        <v>203</v>
      </c>
      <c r="B126" s="2" t="s">
        <v>104</v>
      </c>
      <c r="C126" s="2" t="s">
        <v>360</v>
      </c>
      <c r="D126" s="2" t="s">
        <v>363</v>
      </c>
      <c r="E126" s="50"/>
    </row>
    <row r="127" spans="1:5" x14ac:dyDescent="0.25">
      <c r="A127" s="2" t="s">
        <v>204</v>
      </c>
      <c r="B127" s="2" t="s">
        <v>104</v>
      </c>
      <c r="C127" s="2" t="s">
        <v>360</v>
      </c>
      <c r="D127" s="2" t="s">
        <v>363</v>
      </c>
      <c r="E127" s="50"/>
    </row>
    <row r="128" spans="1:5" x14ac:dyDescent="0.25">
      <c r="A128" s="2" t="s">
        <v>205</v>
      </c>
      <c r="B128" s="2" t="s">
        <v>104</v>
      </c>
      <c r="C128" s="2" t="s">
        <v>360</v>
      </c>
      <c r="D128" s="2" t="s">
        <v>363</v>
      </c>
      <c r="E128" s="50"/>
    </row>
    <row r="129" spans="1:5" x14ac:dyDescent="0.25">
      <c r="A129" s="2" t="s">
        <v>206</v>
      </c>
      <c r="B129" s="2" t="s">
        <v>104</v>
      </c>
      <c r="C129" s="2" t="s">
        <v>360</v>
      </c>
      <c r="D129" s="2" t="s">
        <v>363</v>
      </c>
    </row>
    <row r="130" spans="1:5" x14ac:dyDescent="0.25">
      <c r="A130" s="2" t="s">
        <v>207</v>
      </c>
      <c r="B130" s="2" t="s">
        <v>104</v>
      </c>
      <c r="C130" s="2" t="s">
        <v>360</v>
      </c>
      <c r="D130" s="2" t="s">
        <v>363</v>
      </c>
    </row>
    <row r="131" spans="1:5" x14ac:dyDescent="0.25">
      <c r="A131" s="2" t="s">
        <v>208</v>
      </c>
      <c r="B131" s="2" t="s">
        <v>104</v>
      </c>
      <c r="C131" s="2" t="s">
        <v>364</v>
      </c>
      <c r="D131" s="2" t="s">
        <v>365</v>
      </c>
    </row>
    <row r="132" spans="1:5" x14ac:dyDescent="0.25">
      <c r="A132" s="2" t="s">
        <v>209</v>
      </c>
      <c r="B132" s="2" t="s">
        <v>104</v>
      </c>
      <c r="C132" s="2" t="s">
        <v>364</v>
      </c>
      <c r="D132" s="2" t="s">
        <v>366</v>
      </c>
      <c r="E132" s="50"/>
    </row>
    <row r="133" spans="1:5" x14ac:dyDescent="0.25">
      <c r="A133" s="2" t="s">
        <v>210</v>
      </c>
      <c r="B133" s="2" t="s">
        <v>104</v>
      </c>
      <c r="C133" s="2" t="s">
        <v>364</v>
      </c>
      <c r="D133" s="2" t="s">
        <v>366</v>
      </c>
      <c r="E133" s="50"/>
    </row>
    <row r="134" spans="1:5" x14ac:dyDescent="0.25">
      <c r="A134" s="2" t="s">
        <v>211</v>
      </c>
      <c r="B134" s="2" t="s">
        <v>104</v>
      </c>
      <c r="C134" s="2" t="s">
        <v>364</v>
      </c>
      <c r="D134" s="2" t="s">
        <v>366</v>
      </c>
      <c r="E134" s="50"/>
    </row>
    <row r="135" spans="1:5" x14ac:dyDescent="0.25">
      <c r="A135" s="2" t="s">
        <v>212</v>
      </c>
      <c r="B135" s="2" t="s">
        <v>104</v>
      </c>
      <c r="C135" s="2" t="s">
        <v>364</v>
      </c>
      <c r="D135" s="2" t="s">
        <v>366</v>
      </c>
      <c r="E135" s="50"/>
    </row>
    <row r="136" spans="1:5" x14ac:dyDescent="0.25">
      <c r="A136" s="2" t="s">
        <v>213</v>
      </c>
      <c r="B136" s="2" t="s">
        <v>104</v>
      </c>
      <c r="C136" s="2" t="s">
        <v>364</v>
      </c>
      <c r="D136" s="2" t="s">
        <v>366</v>
      </c>
      <c r="E136" s="50"/>
    </row>
    <row r="137" spans="1:5" x14ac:dyDescent="0.25">
      <c r="A137" s="2" t="s">
        <v>214</v>
      </c>
      <c r="B137" s="2" t="s">
        <v>104</v>
      </c>
      <c r="C137" s="2" t="s">
        <v>364</v>
      </c>
      <c r="D137" s="2" t="s">
        <v>366</v>
      </c>
      <c r="E137" s="50"/>
    </row>
    <row r="138" spans="1:5" x14ac:dyDescent="0.25">
      <c r="A138" s="2" t="s">
        <v>215</v>
      </c>
      <c r="B138" s="2" t="s">
        <v>104</v>
      </c>
      <c r="C138" s="2" t="s">
        <v>364</v>
      </c>
      <c r="D138" s="2" t="s">
        <v>366</v>
      </c>
      <c r="E138" s="50"/>
    </row>
    <row r="139" spans="1:5" x14ac:dyDescent="0.25">
      <c r="A139" s="2" t="s">
        <v>216</v>
      </c>
      <c r="B139" s="2" t="s">
        <v>104</v>
      </c>
      <c r="C139" s="2" t="s">
        <v>364</v>
      </c>
      <c r="D139" s="2" t="s">
        <v>366</v>
      </c>
      <c r="E139" s="50"/>
    </row>
    <row r="140" spans="1:5" x14ac:dyDescent="0.25">
      <c r="A140" s="2" t="s">
        <v>217</v>
      </c>
      <c r="B140" s="2" t="s">
        <v>104</v>
      </c>
      <c r="C140" s="2" t="s">
        <v>364</v>
      </c>
      <c r="D140" s="2" t="s">
        <v>366</v>
      </c>
    </row>
    <row r="141" spans="1:5" x14ac:dyDescent="0.25">
      <c r="A141" s="2" t="s">
        <v>218</v>
      </c>
      <c r="B141" s="2" t="s">
        <v>104</v>
      </c>
      <c r="C141" s="2" t="s">
        <v>364</v>
      </c>
      <c r="D141" s="2" t="s">
        <v>366</v>
      </c>
      <c r="E141" s="50"/>
    </row>
    <row r="142" spans="1:5" x14ac:dyDescent="0.25">
      <c r="A142" s="2" t="s">
        <v>219</v>
      </c>
      <c r="B142" s="2" t="s">
        <v>104</v>
      </c>
      <c r="C142" s="2" t="s">
        <v>364</v>
      </c>
      <c r="D142" s="2" t="s">
        <v>366</v>
      </c>
      <c r="E142" s="50"/>
    </row>
    <row r="143" spans="1:5" x14ac:dyDescent="0.25">
      <c r="A143" s="2" t="s">
        <v>220</v>
      </c>
      <c r="B143" s="2" t="s">
        <v>221</v>
      </c>
      <c r="C143" s="2" t="s">
        <v>367</v>
      </c>
      <c r="D143" s="2" t="s">
        <v>368</v>
      </c>
      <c r="E143" s="50"/>
    </row>
    <row r="144" spans="1:5" x14ac:dyDescent="0.25">
      <c r="A144" s="2" t="s">
        <v>222</v>
      </c>
      <c r="B144" s="2" t="s">
        <v>221</v>
      </c>
      <c r="C144" s="2" t="s">
        <v>367</v>
      </c>
      <c r="D144" s="2" t="s">
        <v>368</v>
      </c>
      <c r="E144" s="50"/>
    </row>
    <row r="145" spans="1:5" x14ac:dyDescent="0.25">
      <c r="A145" s="2" t="s">
        <v>223</v>
      </c>
      <c r="B145" s="2" t="s">
        <v>221</v>
      </c>
      <c r="C145" s="2" t="s">
        <v>367</v>
      </c>
      <c r="D145" s="2" t="s">
        <v>368</v>
      </c>
    </row>
    <row r="146" spans="1:5" x14ac:dyDescent="0.25">
      <c r="A146" s="2" t="s">
        <v>224</v>
      </c>
      <c r="B146" s="2" t="s">
        <v>221</v>
      </c>
      <c r="C146" s="2" t="s">
        <v>367</v>
      </c>
      <c r="D146" s="2" t="s">
        <v>368</v>
      </c>
    </row>
    <row r="147" spans="1:5" x14ac:dyDescent="0.25">
      <c r="A147" s="2" t="s">
        <v>225</v>
      </c>
      <c r="B147" s="2" t="s">
        <v>221</v>
      </c>
      <c r="C147" s="2" t="s">
        <v>367</v>
      </c>
      <c r="D147" s="2" t="s">
        <v>368</v>
      </c>
    </row>
    <row r="148" spans="1:5" x14ac:dyDescent="0.25">
      <c r="A148" s="2" t="s">
        <v>226</v>
      </c>
      <c r="B148" s="2" t="s">
        <v>221</v>
      </c>
      <c r="C148" s="2" t="s">
        <v>367</v>
      </c>
      <c r="D148" s="2" t="s">
        <v>368</v>
      </c>
    </row>
    <row r="149" spans="1:5" x14ac:dyDescent="0.25">
      <c r="A149" s="2" t="s">
        <v>227</v>
      </c>
      <c r="B149" s="2" t="s">
        <v>221</v>
      </c>
      <c r="C149" s="2" t="s">
        <v>367</v>
      </c>
      <c r="D149" s="2" t="s">
        <v>368</v>
      </c>
    </row>
    <row r="150" spans="1:5" x14ac:dyDescent="0.25">
      <c r="A150" s="2" t="s">
        <v>228</v>
      </c>
      <c r="B150" s="2" t="s">
        <v>221</v>
      </c>
      <c r="C150" s="2" t="s">
        <v>367</v>
      </c>
      <c r="D150" s="2" t="s">
        <v>368</v>
      </c>
    </row>
    <row r="151" spans="1:5" x14ac:dyDescent="0.25">
      <c r="A151" s="2" t="s">
        <v>93</v>
      </c>
      <c r="B151" s="2" t="s">
        <v>221</v>
      </c>
      <c r="C151" s="2" t="s">
        <v>367</v>
      </c>
      <c r="D151" s="2" t="s">
        <v>368</v>
      </c>
    </row>
    <row r="152" spans="1:5" x14ac:dyDescent="0.25">
      <c r="A152" s="2" t="s">
        <v>229</v>
      </c>
      <c r="B152" s="2" t="s">
        <v>221</v>
      </c>
      <c r="C152" s="2" t="s">
        <v>367</v>
      </c>
      <c r="D152" s="2" t="s">
        <v>368</v>
      </c>
      <c r="E152" s="50"/>
    </row>
    <row r="153" spans="1:5" x14ac:dyDescent="0.25">
      <c r="A153" s="2" t="s">
        <v>230</v>
      </c>
      <c r="B153" s="2" t="s">
        <v>221</v>
      </c>
      <c r="C153" s="2" t="s">
        <v>367</v>
      </c>
      <c r="D153" s="2" t="s">
        <v>368</v>
      </c>
    </row>
    <row r="154" spans="1:5" x14ac:dyDescent="0.25">
      <c r="A154" s="2" t="s">
        <v>94</v>
      </c>
      <c r="B154" s="2" t="s">
        <v>221</v>
      </c>
      <c r="C154" s="2" t="s">
        <v>367</v>
      </c>
      <c r="D154" s="2" t="s">
        <v>368</v>
      </c>
    </row>
    <row r="155" spans="1:5" x14ac:dyDescent="0.25">
      <c r="A155" s="2" t="s">
        <v>95</v>
      </c>
      <c r="B155" s="2" t="s">
        <v>221</v>
      </c>
      <c r="C155" s="2" t="s">
        <v>367</v>
      </c>
      <c r="D155" s="2" t="s">
        <v>368</v>
      </c>
    </row>
    <row r="156" spans="1:5" x14ac:dyDescent="0.25">
      <c r="A156" s="2" t="s">
        <v>231</v>
      </c>
      <c r="B156" s="2" t="s">
        <v>221</v>
      </c>
      <c r="C156" s="2" t="s">
        <v>367</v>
      </c>
      <c r="D156" s="2" t="s">
        <v>368</v>
      </c>
    </row>
    <row r="157" spans="1:5" x14ac:dyDescent="0.25">
      <c r="A157" s="2" t="s">
        <v>232</v>
      </c>
      <c r="B157" s="2" t="s">
        <v>221</v>
      </c>
      <c r="C157" s="2" t="s">
        <v>367</v>
      </c>
      <c r="D157" s="2" t="s">
        <v>368</v>
      </c>
    </row>
    <row r="158" spans="1:5" x14ac:dyDescent="0.25">
      <c r="A158" s="2" t="s">
        <v>233</v>
      </c>
      <c r="B158" s="2" t="s">
        <v>221</v>
      </c>
      <c r="C158" s="2" t="s">
        <v>367</v>
      </c>
      <c r="D158" s="2" t="s">
        <v>368</v>
      </c>
    </row>
    <row r="159" spans="1:5" x14ac:dyDescent="0.25">
      <c r="A159" s="2" t="s">
        <v>234</v>
      </c>
      <c r="B159" s="2" t="s">
        <v>221</v>
      </c>
      <c r="C159" s="2" t="s">
        <v>367</v>
      </c>
      <c r="D159" s="2" t="s">
        <v>368</v>
      </c>
      <c r="E159" s="50"/>
    </row>
    <row r="160" spans="1:5" x14ac:dyDescent="0.25">
      <c r="A160" s="2" t="s">
        <v>235</v>
      </c>
      <c r="B160" s="2" t="s">
        <v>221</v>
      </c>
      <c r="C160" s="2" t="s">
        <v>367</v>
      </c>
      <c r="D160" s="2" t="s">
        <v>368</v>
      </c>
    </row>
    <row r="161" spans="1:5" x14ac:dyDescent="0.25">
      <c r="A161" s="2" t="s">
        <v>236</v>
      </c>
      <c r="B161" s="2" t="s">
        <v>221</v>
      </c>
      <c r="C161" s="2" t="s">
        <v>367</v>
      </c>
      <c r="D161" s="2" t="s">
        <v>368</v>
      </c>
    </row>
    <row r="162" spans="1:5" x14ac:dyDescent="0.25">
      <c r="A162" s="2" t="s">
        <v>237</v>
      </c>
      <c r="B162" s="2" t="s">
        <v>221</v>
      </c>
      <c r="C162" s="2" t="s">
        <v>367</v>
      </c>
      <c r="D162" s="2" t="s">
        <v>368</v>
      </c>
    </row>
    <row r="163" spans="1:5" x14ac:dyDescent="0.25">
      <c r="A163" s="2" t="s">
        <v>238</v>
      </c>
      <c r="B163" s="2" t="s">
        <v>221</v>
      </c>
      <c r="C163" s="2" t="s">
        <v>367</v>
      </c>
      <c r="D163" s="2" t="s">
        <v>368</v>
      </c>
    </row>
    <row r="164" spans="1:5" x14ac:dyDescent="0.25">
      <c r="A164" s="2" t="s">
        <v>239</v>
      </c>
      <c r="B164" s="2" t="s">
        <v>221</v>
      </c>
      <c r="C164" s="2" t="s">
        <v>367</v>
      </c>
      <c r="D164" s="2" t="s">
        <v>368</v>
      </c>
    </row>
    <row r="165" spans="1:5" x14ac:dyDescent="0.25">
      <c r="A165" s="2" t="s">
        <v>240</v>
      </c>
      <c r="B165" s="2" t="s">
        <v>221</v>
      </c>
      <c r="C165" s="2" t="s">
        <v>367</v>
      </c>
      <c r="D165" s="2" t="s">
        <v>368</v>
      </c>
      <c r="E165" s="50"/>
    </row>
    <row r="166" spans="1:5" x14ac:dyDescent="0.25">
      <c r="A166" s="2" t="s">
        <v>241</v>
      </c>
      <c r="B166" s="2" t="s">
        <v>221</v>
      </c>
      <c r="C166" s="2" t="s">
        <v>367</v>
      </c>
      <c r="D166" s="2" t="s">
        <v>368</v>
      </c>
    </row>
    <row r="167" spans="1:5" x14ac:dyDescent="0.25">
      <c r="A167" s="2" t="s">
        <v>242</v>
      </c>
      <c r="B167" s="2" t="s">
        <v>221</v>
      </c>
      <c r="C167" s="2" t="s">
        <v>367</v>
      </c>
      <c r="D167" s="2" t="s">
        <v>368</v>
      </c>
    </row>
    <row r="168" spans="1:5" x14ac:dyDescent="0.25">
      <c r="A168" s="2" t="s">
        <v>243</v>
      </c>
      <c r="B168" s="2" t="s">
        <v>221</v>
      </c>
      <c r="C168" s="2" t="s">
        <v>367</v>
      </c>
      <c r="D168" s="2" t="s">
        <v>368</v>
      </c>
    </row>
    <row r="169" spans="1:5" x14ac:dyDescent="0.25">
      <c r="A169" s="2" t="s">
        <v>244</v>
      </c>
      <c r="B169" s="2" t="s">
        <v>221</v>
      </c>
      <c r="C169" s="2" t="s">
        <v>367</v>
      </c>
      <c r="D169" s="2" t="s">
        <v>368</v>
      </c>
    </row>
    <row r="170" spans="1:5" x14ac:dyDescent="0.25">
      <c r="A170" s="2" t="s">
        <v>245</v>
      </c>
      <c r="B170" s="2" t="s">
        <v>221</v>
      </c>
      <c r="C170" s="2" t="s">
        <v>367</v>
      </c>
      <c r="D170" s="2" t="s">
        <v>368</v>
      </c>
      <c r="E170" s="50"/>
    </row>
    <row r="171" spans="1:5" x14ac:dyDescent="0.25">
      <c r="A171" s="2" t="s">
        <v>246</v>
      </c>
      <c r="B171" s="2" t="s">
        <v>221</v>
      </c>
      <c r="C171" s="2" t="s">
        <v>367</v>
      </c>
      <c r="D171" s="2" t="s">
        <v>368</v>
      </c>
    </row>
    <row r="172" spans="1:5" x14ac:dyDescent="0.25">
      <c r="A172" s="2" t="s">
        <v>247</v>
      </c>
      <c r="B172" s="2" t="s">
        <v>221</v>
      </c>
      <c r="C172" s="2" t="s">
        <v>367</v>
      </c>
      <c r="D172" s="2" t="s">
        <v>368</v>
      </c>
      <c r="E172" s="50"/>
    </row>
    <row r="173" spans="1:5" x14ac:dyDescent="0.25">
      <c r="A173" s="2" t="s">
        <v>248</v>
      </c>
      <c r="B173" s="2" t="s">
        <v>221</v>
      </c>
      <c r="C173" s="2" t="s">
        <v>367</v>
      </c>
      <c r="D173" s="2" t="s">
        <v>368</v>
      </c>
    </row>
    <row r="174" spans="1:5" x14ac:dyDescent="0.25">
      <c r="A174" s="2" t="s">
        <v>249</v>
      </c>
      <c r="B174" s="2" t="s">
        <v>221</v>
      </c>
      <c r="C174" s="2" t="s">
        <v>367</v>
      </c>
      <c r="D174" s="2" t="s">
        <v>368</v>
      </c>
    </row>
    <row r="175" spans="1:5" x14ac:dyDescent="0.25">
      <c r="A175" s="2" t="s">
        <v>250</v>
      </c>
      <c r="B175" s="2" t="s">
        <v>221</v>
      </c>
      <c r="C175" s="2" t="s">
        <v>367</v>
      </c>
      <c r="D175" s="2" t="s">
        <v>368</v>
      </c>
      <c r="E175" s="50"/>
    </row>
    <row r="176" spans="1:5" x14ac:dyDescent="0.25">
      <c r="A176" s="2" t="s">
        <v>251</v>
      </c>
      <c r="B176" s="2" t="s">
        <v>221</v>
      </c>
      <c r="C176" s="2" t="s">
        <v>367</v>
      </c>
      <c r="D176" s="2" t="s">
        <v>368</v>
      </c>
    </row>
    <row r="177" spans="1:5" x14ac:dyDescent="0.25">
      <c r="A177" s="2" t="s">
        <v>252</v>
      </c>
      <c r="B177" s="2" t="s">
        <v>221</v>
      </c>
      <c r="C177" s="2" t="s">
        <v>367</v>
      </c>
      <c r="D177" s="2" t="s">
        <v>368</v>
      </c>
    </row>
    <row r="178" spans="1:5" x14ac:dyDescent="0.25">
      <c r="A178" s="2" t="s">
        <v>253</v>
      </c>
      <c r="B178" s="2" t="s">
        <v>221</v>
      </c>
      <c r="C178" s="2" t="s">
        <v>367</v>
      </c>
      <c r="D178" s="2" t="s">
        <v>368</v>
      </c>
    </row>
    <row r="179" spans="1:5" x14ac:dyDescent="0.25">
      <c r="A179" s="2" t="s">
        <v>254</v>
      </c>
      <c r="B179" s="2" t="s">
        <v>221</v>
      </c>
      <c r="C179" s="2" t="s">
        <v>367</v>
      </c>
      <c r="D179" s="2" t="s">
        <v>368</v>
      </c>
    </row>
    <row r="180" spans="1:5" x14ac:dyDescent="0.25">
      <c r="A180" s="2" t="s">
        <v>255</v>
      </c>
      <c r="B180" s="2" t="s">
        <v>221</v>
      </c>
      <c r="C180" s="2" t="s">
        <v>367</v>
      </c>
      <c r="D180" s="2" t="s">
        <v>369</v>
      </c>
    </row>
    <row r="181" spans="1:5" x14ac:dyDescent="0.25">
      <c r="A181" s="2" t="s">
        <v>256</v>
      </c>
      <c r="B181" s="2" t="s">
        <v>221</v>
      </c>
      <c r="C181" s="2" t="s">
        <v>367</v>
      </c>
      <c r="D181" s="2" t="s">
        <v>369</v>
      </c>
      <c r="E181" s="50"/>
    </row>
    <row r="182" spans="1:5" x14ac:dyDescent="0.25">
      <c r="A182" s="2" t="s">
        <v>257</v>
      </c>
      <c r="B182" s="2" t="s">
        <v>221</v>
      </c>
      <c r="C182" s="2" t="s">
        <v>367</v>
      </c>
      <c r="D182" s="2" t="s">
        <v>369</v>
      </c>
      <c r="E182" s="50"/>
    </row>
    <row r="183" spans="1:5" x14ac:dyDescent="0.25">
      <c r="A183" s="2" t="s">
        <v>258</v>
      </c>
      <c r="B183" s="2" t="s">
        <v>221</v>
      </c>
      <c r="C183" s="2" t="s">
        <v>367</v>
      </c>
      <c r="D183" s="2" t="s">
        <v>369</v>
      </c>
    </row>
    <row r="184" spans="1:5" x14ac:dyDescent="0.25">
      <c r="A184" s="2" t="s">
        <v>259</v>
      </c>
      <c r="B184" s="2" t="s">
        <v>221</v>
      </c>
      <c r="C184" s="2" t="s">
        <v>367</v>
      </c>
      <c r="D184" s="2" t="s">
        <v>369</v>
      </c>
    </row>
    <row r="185" spans="1:5" x14ac:dyDescent="0.25">
      <c r="A185" s="2" t="s">
        <v>260</v>
      </c>
      <c r="B185" s="2" t="s">
        <v>221</v>
      </c>
      <c r="C185" s="2" t="s">
        <v>367</v>
      </c>
      <c r="D185" s="2" t="s">
        <v>369</v>
      </c>
      <c r="E185" s="50"/>
    </row>
    <row r="186" spans="1:5" x14ac:dyDescent="0.25">
      <c r="A186" s="2" t="s">
        <v>261</v>
      </c>
      <c r="B186" s="2" t="s">
        <v>221</v>
      </c>
      <c r="C186" s="2" t="s">
        <v>367</v>
      </c>
      <c r="D186" s="2" t="s">
        <v>369</v>
      </c>
    </row>
    <row r="187" spans="1:5" x14ac:dyDescent="0.25">
      <c r="A187" s="2" t="s">
        <v>262</v>
      </c>
      <c r="B187" s="2" t="s">
        <v>221</v>
      </c>
      <c r="C187" s="2" t="s">
        <v>367</v>
      </c>
      <c r="D187" s="2" t="s">
        <v>369</v>
      </c>
    </row>
    <row r="188" spans="1:5" x14ac:dyDescent="0.25">
      <c r="A188" s="2" t="s">
        <v>263</v>
      </c>
      <c r="B188" s="2" t="s">
        <v>221</v>
      </c>
      <c r="C188" s="2" t="s">
        <v>367</v>
      </c>
      <c r="D188" s="2" t="s">
        <v>370</v>
      </c>
    </row>
    <row r="189" spans="1:5" x14ac:dyDescent="0.25">
      <c r="A189" s="2" t="s">
        <v>264</v>
      </c>
      <c r="B189" s="2" t="s">
        <v>221</v>
      </c>
      <c r="C189" s="2" t="s">
        <v>367</v>
      </c>
      <c r="D189" s="2" t="s">
        <v>370</v>
      </c>
    </row>
    <row r="190" spans="1:5" x14ac:dyDescent="0.25">
      <c r="A190" s="2" t="s">
        <v>265</v>
      </c>
      <c r="B190" s="2" t="s">
        <v>221</v>
      </c>
      <c r="C190" s="2" t="s">
        <v>367</v>
      </c>
      <c r="D190" s="2" t="s">
        <v>370</v>
      </c>
    </row>
    <row r="191" spans="1:5" x14ac:dyDescent="0.25">
      <c r="A191" s="2" t="s">
        <v>266</v>
      </c>
      <c r="B191" s="2" t="s">
        <v>221</v>
      </c>
      <c r="C191" s="2" t="s">
        <v>367</v>
      </c>
      <c r="D191" s="2" t="s">
        <v>370</v>
      </c>
    </row>
    <row r="192" spans="1:5" x14ac:dyDescent="0.25">
      <c r="A192" s="2" t="s">
        <v>267</v>
      </c>
      <c r="B192" s="2" t="s">
        <v>221</v>
      </c>
      <c r="C192" s="2" t="s">
        <v>367</v>
      </c>
      <c r="D192" s="2" t="s">
        <v>370</v>
      </c>
      <c r="E192" s="50"/>
    </row>
    <row r="193" spans="1:5" x14ac:dyDescent="0.25">
      <c r="A193" s="2" t="s">
        <v>268</v>
      </c>
      <c r="B193" s="2" t="s">
        <v>221</v>
      </c>
      <c r="C193" s="2" t="s">
        <v>367</v>
      </c>
      <c r="D193" s="2" t="s">
        <v>370</v>
      </c>
    </row>
    <row r="194" spans="1:5" x14ac:dyDescent="0.25">
      <c r="A194" s="2" t="s">
        <v>269</v>
      </c>
      <c r="B194" s="2" t="s">
        <v>221</v>
      </c>
      <c r="C194" s="2" t="s">
        <v>367</v>
      </c>
      <c r="D194" s="2" t="s">
        <v>370</v>
      </c>
    </row>
    <row r="195" spans="1:5" x14ac:dyDescent="0.25">
      <c r="A195" s="2" t="s">
        <v>270</v>
      </c>
      <c r="B195" s="2" t="s">
        <v>221</v>
      </c>
      <c r="C195" s="2" t="s">
        <v>367</v>
      </c>
      <c r="D195" s="2" t="s">
        <v>370</v>
      </c>
    </row>
    <row r="196" spans="1:5" x14ac:dyDescent="0.25">
      <c r="A196" s="2" t="s">
        <v>271</v>
      </c>
      <c r="B196" s="2" t="s">
        <v>221</v>
      </c>
      <c r="C196" s="2" t="s">
        <v>367</v>
      </c>
      <c r="D196" s="2" t="s">
        <v>370</v>
      </c>
    </row>
    <row r="197" spans="1:5" x14ac:dyDescent="0.25">
      <c r="A197" s="2" t="s">
        <v>272</v>
      </c>
      <c r="B197" s="2" t="s">
        <v>221</v>
      </c>
      <c r="C197" s="2" t="s">
        <v>367</v>
      </c>
      <c r="D197" s="2" t="s">
        <v>370</v>
      </c>
      <c r="E197" s="50"/>
    </row>
    <row r="198" spans="1:5" x14ac:dyDescent="0.25">
      <c r="A198" s="2" t="s">
        <v>273</v>
      </c>
      <c r="B198" s="2" t="s">
        <v>221</v>
      </c>
      <c r="C198" s="2" t="s">
        <v>367</v>
      </c>
      <c r="D198" s="2" t="s">
        <v>370</v>
      </c>
    </row>
    <row r="199" spans="1:5" x14ac:dyDescent="0.25">
      <c r="A199" s="2" t="s">
        <v>274</v>
      </c>
      <c r="B199" s="2" t="s">
        <v>221</v>
      </c>
      <c r="C199" s="2" t="s">
        <v>367</v>
      </c>
      <c r="D199" s="2" t="s">
        <v>370</v>
      </c>
    </row>
    <row r="200" spans="1:5" x14ac:dyDescent="0.25">
      <c r="A200" s="2" t="s">
        <v>275</v>
      </c>
      <c r="B200" s="2" t="s">
        <v>221</v>
      </c>
      <c r="C200" s="2" t="s">
        <v>367</v>
      </c>
      <c r="D200" s="2" t="s">
        <v>370</v>
      </c>
    </row>
    <row r="201" spans="1:5" x14ac:dyDescent="0.25">
      <c r="A201" s="2" t="s">
        <v>276</v>
      </c>
      <c r="B201" s="2" t="s">
        <v>221</v>
      </c>
      <c r="C201" s="2" t="s">
        <v>367</v>
      </c>
      <c r="D201" s="2" t="s">
        <v>370</v>
      </c>
    </row>
    <row r="202" spans="1:5" x14ac:dyDescent="0.25">
      <c r="A202" s="2" t="s">
        <v>277</v>
      </c>
      <c r="B202" s="2" t="s">
        <v>221</v>
      </c>
      <c r="C202" s="2" t="s">
        <v>367</v>
      </c>
      <c r="D202" s="2" t="s">
        <v>371</v>
      </c>
    </row>
    <row r="203" spans="1:5" x14ac:dyDescent="0.25">
      <c r="A203" s="2" t="s">
        <v>278</v>
      </c>
      <c r="B203" s="2" t="s">
        <v>221</v>
      </c>
      <c r="C203" s="2" t="s">
        <v>367</v>
      </c>
      <c r="D203" s="2" t="s">
        <v>371</v>
      </c>
    </row>
    <row r="204" spans="1:5" x14ac:dyDescent="0.25">
      <c r="A204" s="2" t="s">
        <v>279</v>
      </c>
      <c r="B204" s="2" t="s">
        <v>221</v>
      </c>
      <c r="C204" s="2" t="s">
        <v>367</v>
      </c>
      <c r="D204" s="2" t="s">
        <v>371</v>
      </c>
    </row>
    <row r="205" spans="1:5" x14ac:dyDescent="0.25">
      <c r="A205" s="2" t="s">
        <v>280</v>
      </c>
      <c r="B205" s="2" t="s">
        <v>221</v>
      </c>
      <c r="C205" s="2" t="s">
        <v>367</v>
      </c>
      <c r="D205" s="2" t="s">
        <v>371</v>
      </c>
    </row>
    <row r="206" spans="1:5" x14ac:dyDescent="0.25">
      <c r="A206" s="2" t="s">
        <v>281</v>
      </c>
      <c r="B206" s="2" t="s">
        <v>221</v>
      </c>
      <c r="C206" s="2" t="s">
        <v>367</v>
      </c>
      <c r="D206" s="2" t="s">
        <v>371</v>
      </c>
    </row>
    <row r="207" spans="1:5" x14ac:dyDescent="0.25">
      <c r="A207" s="2" t="s">
        <v>282</v>
      </c>
      <c r="B207" s="2" t="s">
        <v>221</v>
      </c>
      <c r="C207" s="2" t="s">
        <v>367</v>
      </c>
      <c r="D207" s="2" t="s">
        <v>371</v>
      </c>
    </row>
    <row r="208" spans="1:5" x14ac:dyDescent="0.25">
      <c r="A208" s="2" t="s">
        <v>283</v>
      </c>
      <c r="B208" s="2" t="s">
        <v>221</v>
      </c>
      <c r="C208" s="2" t="s">
        <v>367</v>
      </c>
      <c r="D208" s="2" t="s">
        <v>371</v>
      </c>
    </row>
    <row r="209" spans="1:5" x14ac:dyDescent="0.25">
      <c r="A209" s="2" t="s">
        <v>284</v>
      </c>
      <c r="B209" s="2" t="s">
        <v>221</v>
      </c>
      <c r="C209" s="2" t="s">
        <v>367</v>
      </c>
      <c r="D209" s="2" t="s">
        <v>371</v>
      </c>
    </row>
    <row r="210" spans="1:5" x14ac:dyDescent="0.25">
      <c r="A210" s="2" t="s">
        <v>285</v>
      </c>
      <c r="B210" s="2" t="s">
        <v>221</v>
      </c>
      <c r="C210" s="2" t="s">
        <v>367</v>
      </c>
      <c r="D210" s="2" t="s">
        <v>371</v>
      </c>
      <c r="E210" s="50"/>
    </row>
    <row r="211" spans="1:5" x14ac:dyDescent="0.25">
      <c r="A211" s="2" t="s">
        <v>286</v>
      </c>
      <c r="B211" s="2" t="s">
        <v>221</v>
      </c>
      <c r="C211" s="2" t="s">
        <v>367</v>
      </c>
      <c r="D211" s="2" t="s">
        <v>371</v>
      </c>
    </row>
    <row r="212" spans="1:5" x14ac:dyDescent="0.25">
      <c r="A212" s="2" t="s">
        <v>287</v>
      </c>
      <c r="B212" s="2" t="s">
        <v>221</v>
      </c>
      <c r="C212" s="2" t="s">
        <v>367</v>
      </c>
      <c r="D212" s="2" t="s">
        <v>371</v>
      </c>
    </row>
    <row r="213" spans="1:5" x14ac:dyDescent="0.25">
      <c r="A213" s="2" t="s">
        <v>288</v>
      </c>
      <c r="B213" s="2" t="s">
        <v>221</v>
      </c>
      <c r="C213" s="2" t="s">
        <v>367</v>
      </c>
      <c r="D213" s="2" t="s">
        <v>371</v>
      </c>
    </row>
    <row r="214" spans="1:5" x14ac:dyDescent="0.25">
      <c r="A214" s="2" t="s">
        <v>289</v>
      </c>
      <c r="B214" s="2" t="s">
        <v>221</v>
      </c>
      <c r="C214" s="2" t="s">
        <v>367</v>
      </c>
      <c r="D214" s="2" t="s">
        <v>371</v>
      </c>
    </row>
    <row r="215" spans="1:5" x14ac:dyDescent="0.25">
      <c r="A215" s="2" t="s">
        <v>290</v>
      </c>
      <c r="B215" s="2" t="s">
        <v>221</v>
      </c>
      <c r="C215" s="2" t="s">
        <v>367</v>
      </c>
      <c r="D215" s="2" t="s">
        <v>371</v>
      </c>
    </row>
    <row r="216" spans="1:5" x14ac:dyDescent="0.25">
      <c r="A216" s="2" t="s">
        <v>291</v>
      </c>
      <c r="B216" s="2" t="s">
        <v>221</v>
      </c>
      <c r="C216" s="2" t="s">
        <v>367</v>
      </c>
      <c r="D216" s="2" t="s">
        <v>371</v>
      </c>
    </row>
    <row r="217" spans="1:5" x14ac:dyDescent="0.25">
      <c r="A217" s="2" t="s">
        <v>292</v>
      </c>
      <c r="B217" s="2" t="s">
        <v>221</v>
      </c>
      <c r="C217" s="2" t="s">
        <v>367</v>
      </c>
      <c r="D217" s="2" t="s">
        <v>371</v>
      </c>
    </row>
    <row r="218" spans="1:5" x14ac:dyDescent="0.25">
      <c r="A218" s="2" t="s">
        <v>293</v>
      </c>
      <c r="B218" s="2" t="s">
        <v>221</v>
      </c>
      <c r="C218" s="2" t="s">
        <v>367</v>
      </c>
      <c r="D218" s="2" t="s">
        <v>371</v>
      </c>
      <c r="E218" s="50"/>
    </row>
    <row r="219" spans="1:5" x14ac:dyDescent="0.25">
      <c r="A219" s="2" t="s">
        <v>294</v>
      </c>
      <c r="B219" s="2" t="s">
        <v>221</v>
      </c>
      <c r="C219" s="2" t="s">
        <v>367</v>
      </c>
      <c r="D219" s="2" t="s">
        <v>371</v>
      </c>
    </row>
    <row r="220" spans="1:5" x14ac:dyDescent="0.25">
      <c r="A220" s="2" t="s">
        <v>295</v>
      </c>
      <c r="B220" s="2" t="s">
        <v>221</v>
      </c>
      <c r="C220" s="2" t="s">
        <v>367</v>
      </c>
      <c r="D220" s="2" t="s">
        <v>371</v>
      </c>
      <c r="E220" s="50"/>
    </row>
    <row r="221" spans="1:5" x14ac:dyDescent="0.25">
      <c r="A221" s="2" t="s">
        <v>296</v>
      </c>
      <c r="B221" s="2" t="s">
        <v>221</v>
      </c>
      <c r="C221" s="2" t="s">
        <v>367</v>
      </c>
      <c r="D221" s="2" t="s">
        <v>371</v>
      </c>
      <c r="E221" s="50"/>
    </row>
    <row r="222" spans="1:5" x14ac:dyDescent="0.25">
      <c r="A222" s="2" t="s">
        <v>297</v>
      </c>
      <c r="B222" s="2" t="s">
        <v>221</v>
      </c>
      <c r="C222" s="2" t="s">
        <v>367</v>
      </c>
      <c r="D222" s="2" t="s">
        <v>371</v>
      </c>
      <c r="E222" s="50"/>
    </row>
    <row r="223" spans="1:5" x14ac:dyDescent="0.25">
      <c r="A223" s="2" t="s">
        <v>298</v>
      </c>
      <c r="B223" s="2" t="s">
        <v>221</v>
      </c>
      <c r="C223" s="2" t="s">
        <v>367</v>
      </c>
      <c r="D223" s="2" t="s">
        <v>371</v>
      </c>
    </row>
    <row r="224" spans="1:5" x14ac:dyDescent="0.25">
      <c r="A224" s="2" t="s">
        <v>299</v>
      </c>
      <c r="B224" s="2" t="s">
        <v>221</v>
      </c>
      <c r="C224" s="2" t="s">
        <v>367</v>
      </c>
      <c r="D224" s="2" t="s">
        <v>371</v>
      </c>
      <c r="E224" s="50"/>
    </row>
    <row r="225" spans="1:5" x14ac:dyDescent="0.25">
      <c r="A225" s="2" t="s">
        <v>300</v>
      </c>
      <c r="B225" s="2" t="s">
        <v>221</v>
      </c>
      <c r="C225" s="2" t="s">
        <v>367</v>
      </c>
      <c r="D225" s="2" t="s">
        <v>371</v>
      </c>
    </row>
    <row r="226" spans="1:5" x14ac:dyDescent="0.25">
      <c r="A226" s="2" t="s">
        <v>301</v>
      </c>
      <c r="B226" s="2" t="s">
        <v>221</v>
      </c>
      <c r="C226" s="2" t="s">
        <v>367</v>
      </c>
      <c r="D226" s="2" t="s">
        <v>371</v>
      </c>
    </row>
    <row r="227" spans="1:5" x14ac:dyDescent="0.25">
      <c r="A227" s="2" t="s">
        <v>302</v>
      </c>
      <c r="B227" s="2" t="s">
        <v>221</v>
      </c>
      <c r="C227" s="2" t="s">
        <v>367</v>
      </c>
      <c r="D227" s="2" t="s">
        <v>371</v>
      </c>
    </row>
    <row r="228" spans="1:5" x14ac:dyDescent="0.25">
      <c r="A228" s="2" t="s">
        <v>303</v>
      </c>
      <c r="B228" s="2" t="s">
        <v>221</v>
      </c>
      <c r="C228" s="2" t="s">
        <v>367</v>
      </c>
      <c r="D228" s="2" t="s">
        <v>371</v>
      </c>
      <c r="E228" s="50"/>
    </row>
    <row r="229" spans="1:5" x14ac:dyDescent="0.25">
      <c r="A229" s="2" t="s">
        <v>304</v>
      </c>
      <c r="B229" s="2" t="s">
        <v>221</v>
      </c>
      <c r="C229" s="2" t="s">
        <v>367</v>
      </c>
      <c r="D229" s="2" t="s">
        <v>371</v>
      </c>
    </row>
    <row r="230" spans="1:5" x14ac:dyDescent="0.25">
      <c r="A230" s="2" t="s">
        <v>305</v>
      </c>
      <c r="B230" s="2" t="s">
        <v>221</v>
      </c>
      <c r="C230" s="2" t="s">
        <v>367</v>
      </c>
      <c r="D230" s="2" t="s">
        <v>371</v>
      </c>
    </row>
    <row r="231" spans="1:5" x14ac:dyDescent="0.25">
      <c r="A231" s="2" t="s">
        <v>306</v>
      </c>
      <c r="B231" s="2" t="s">
        <v>221</v>
      </c>
      <c r="C231" s="2" t="s">
        <v>367</v>
      </c>
      <c r="D231" s="2" t="s">
        <v>371</v>
      </c>
    </row>
    <row r="232" spans="1:5" x14ac:dyDescent="0.25">
      <c r="A232" s="2" t="s">
        <v>307</v>
      </c>
      <c r="B232" s="2" t="s">
        <v>221</v>
      </c>
      <c r="C232" s="2" t="s">
        <v>367</v>
      </c>
      <c r="D232" s="2" t="s">
        <v>371</v>
      </c>
      <c r="E232" s="50"/>
    </row>
    <row r="233" spans="1:5" x14ac:dyDescent="0.25">
      <c r="A233" s="2" t="s">
        <v>308</v>
      </c>
      <c r="B233" s="2" t="s">
        <v>221</v>
      </c>
      <c r="C233" s="2" t="s">
        <v>367</v>
      </c>
      <c r="D233" s="2" t="s">
        <v>371</v>
      </c>
    </row>
    <row r="234" spans="1:5" x14ac:dyDescent="0.25">
      <c r="A234" s="2" t="s">
        <v>309</v>
      </c>
      <c r="B234" s="2" t="s">
        <v>221</v>
      </c>
      <c r="C234" s="2" t="s">
        <v>367</v>
      </c>
      <c r="D234" s="2" t="s">
        <v>371</v>
      </c>
    </row>
    <row r="235" spans="1:5" x14ac:dyDescent="0.25">
      <c r="A235" s="2" t="s">
        <v>310</v>
      </c>
      <c r="B235" s="2" t="s">
        <v>221</v>
      </c>
      <c r="C235" s="2" t="s">
        <v>367</v>
      </c>
      <c r="D235" s="2" t="s">
        <v>371</v>
      </c>
      <c r="E235" s="50"/>
    </row>
  </sheetData>
  <phoneticPr fontId="1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6F3C-227C-E442-AA1F-AF800B263C45}">
  <dimension ref="A1:I144"/>
  <sheetViews>
    <sheetView topLeftCell="A55" workbookViewId="0">
      <selection activeCell="I9" sqref="I9"/>
    </sheetView>
  </sheetViews>
  <sheetFormatPr baseColWidth="10" defaultColWidth="10.875" defaultRowHeight="15.75" x14ac:dyDescent="0.25"/>
  <cols>
    <col min="1" max="1" width="5.5" style="4" bestFit="1" customWidth="1"/>
    <col min="2" max="2" width="76.125" style="4" customWidth="1"/>
    <col min="3" max="3" width="17.625" style="2" bestFit="1" customWidth="1"/>
    <col min="4" max="4" width="10" style="45" bestFit="1" customWidth="1"/>
    <col min="5" max="5" width="18" style="50" customWidth="1"/>
    <col min="6" max="16384" width="10.875" style="2"/>
  </cols>
  <sheetData>
    <row r="1" spans="1:9" x14ac:dyDescent="0.25">
      <c r="A1" s="2" t="s">
        <v>4</v>
      </c>
      <c r="B1" s="2" t="s">
        <v>550</v>
      </c>
      <c r="C1" s="2" t="s">
        <v>551</v>
      </c>
      <c r="D1" s="2" t="s">
        <v>0</v>
      </c>
      <c r="E1" s="50" t="s">
        <v>552</v>
      </c>
    </row>
    <row r="2" spans="1:9" ht="31.5" x14ac:dyDescent="0.25">
      <c r="A2" s="4">
        <v>1</v>
      </c>
      <c r="B2" s="2" t="s">
        <v>401</v>
      </c>
      <c r="C2" s="2" t="s">
        <v>549</v>
      </c>
      <c r="D2" s="2" t="s">
        <v>375</v>
      </c>
      <c r="E2" s="50" t="s">
        <v>553</v>
      </c>
    </row>
    <row r="3" spans="1:9" ht="31.5" x14ac:dyDescent="0.25">
      <c r="A3" s="4">
        <v>2</v>
      </c>
      <c r="B3" s="2" t="s">
        <v>554</v>
      </c>
      <c r="C3" s="2" t="s">
        <v>555</v>
      </c>
      <c r="D3" s="2" t="s">
        <v>556</v>
      </c>
      <c r="E3" s="50" t="s">
        <v>557</v>
      </c>
    </row>
    <row r="4" spans="1:9" x14ac:dyDescent="0.25">
      <c r="A4" s="4">
        <v>3</v>
      </c>
      <c r="B4" s="2" t="s">
        <v>457</v>
      </c>
      <c r="C4" s="2" t="s">
        <v>555</v>
      </c>
      <c r="D4" s="2" t="s">
        <v>556</v>
      </c>
      <c r="E4" s="50" t="s">
        <v>232</v>
      </c>
    </row>
    <row r="5" spans="1:9" x14ac:dyDescent="0.25">
      <c r="A5" s="4">
        <v>4</v>
      </c>
      <c r="B5" s="2" t="s">
        <v>558</v>
      </c>
      <c r="C5" s="2" t="s">
        <v>555</v>
      </c>
      <c r="D5" s="2" t="s">
        <v>556</v>
      </c>
      <c r="E5" s="50" t="s">
        <v>559</v>
      </c>
    </row>
    <row r="6" spans="1:9" x14ac:dyDescent="0.25">
      <c r="A6" s="4">
        <v>5</v>
      </c>
      <c r="B6" s="2" t="s">
        <v>538</v>
      </c>
      <c r="C6" s="2" t="s">
        <v>555</v>
      </c>
      <c r="D6" s="2" t="s">
        <v>556</v>
      </c>
      <c r="E6" s="50" t="s">
        <v>241</v>
      </c>
      <c r="I6" s="50"/>
    </row>
    <row r="7" spans="1:9" x14ac:dyDescent="0.25">
      <c r="A7" s="4">
        <v>6</v>
      </c>
      <c r="B7" s="2" t="s">
        <v>541</v>
      </c>
      <c r="C7" s="2" t="s">
        <v>555</v>
      </c>
      <c r="D7" s="2" t="s">
        <v>556</v>
      </c>
      <c r="E7" s="50" t="s">
        <v>560</v>
      </c>
    </row>
    <row r="8" spans="1:9" x14ac:dyDescent="0.25">
      <c r="A8" s="4">
        <v>7</v>
      </c>
      <c r="B8" s="2" t="s">
        <v>525</v>
      </c>
      <c r="C8" s="2" t="s">
        <v>555</v>
      </c>
      <c r="D8" s="2" t="s">
        <v>556</v>
      </c>
    </row>
    <row r="9" spans="1:9" x14ac:dyDescent="0.25">
      <c r="A9" s="4">
        <v>8</v>
      </c>
      <c r="B9" s="2" t="s">
        <v>522</v>
      </c>
      <c r="C9" s="2" t="s">
        <v>555</v>
      </c>
      <c r="D9" s="2" t="s">
        <v>556</v>
      </c>
      <c r="E9" s="50" t="s">
        <v>93</v>
      </c>
    </row>
    <row r="10" spans="1:9" x14ac:dyDescent="0.25">
      <c r="A10" s="4">
        <v>9</v>
      </c>
      <c r="B10" s="2" t="s">
        <v>561</v>
      </c>
      <c r="C10" s="2" t="s">
        <v>555</v>
      </c>
      <c r="D10" s="2" t="s">
        <v>556</v>
      </c>
      <c r="E10" s="50" t="s">
        <v>562</v>
      </c>
    </row>
    <row r="11" spans="1:9" x14ac:dyDescent="0.25">
      <c r="A11" s="4">
        <v>10</v>
      </c>
      <c r="B11" s="2" t="s">
        <v>545</v>
      </c>
      <c r="C11" s="2" t="s">
        <v>555</v>
      </c>
      <c r="D11" s="2" t="s">
        <v>556</v>
      </c>
      <c r="E11" s="50" t="s">
        <v>255</v>
      </c>
    </row>
    <row r="12" spans="1:9" x14ac:dyDescent="0.25">
      <c r="A12" s="4">
        <v>11</v>
      </c>
      <c r="B12" s="2" t="s">
        <v>456</v>
      </c>
      <c r="C12" s="2" t="s">
        <v>555</v>
      </c>
      <c r="D12" s="2" t="s">
        <v>556</v>
      </c>
      <c r="E12" s="50" t="s">
        <v>94</v>
      </c>
    </row>
    <row r="13" spans="1:9" x14ac:dyDescent="0.25">
      <c r="A13" s="4">
        <v>12</v>
      </c>
      <c r="B13" s="2" t="s">
        <v>537</v>
      </c>
      <c r="C13" s="2" t="s">
        <v>555</v>
      </c>
      <c r="D13" s="2" t="s">
        <v>556</v>
      </c>
      <c r="E13" s="50" t="s">
        <v>563</v>
      </c>
    </row>
    <row r="14" spans="1:9" x14ac:dyDescent="0.25">
      <c r="A14" s="4">
        <v>13</v>
      </c>
      <c r="B14" s="2" t="s">
        <v>564</v>
      </c>
      <c r="C14" s="2" t="s">
        <v>555</v>
      </c>
      <c r="D14" s="2" t="s">
        <v>556</v>
      </c>
      <c r="E14" s="50" t="s">
        <v>565</v>
      </c>
    </row>
    <row r="15" spans="1:9" x14ac:dyDescent="0.25">
      <c r="A15" s="4">
        <v>14</v>
      </c>
      <c r="B15" s="2" t="s">
        <v>433</v>
      </c>
      <c r="C15" s="2" t="s">
        <v>555</v>
      </c>
      <c r="D15" s="2" t="s">
        <v>556</v>
      </c>
      <c r="E15" s="50" t="s">
        <v>566</v>
      </c>
    </row>
    <row r="16" spans="1:9" x14ac:dyDescent="0.25">
      <c r="A16" s="4">
        <v>15</v>
      </c>
      <c r="B16" s="2" t="s">
        <v>434</v>
      </c>
      <c r="C16" s="2" t="s">
        <v>555</v>
      </c>
      <c r="D16" s="2" t="s">
        <v>556</v>
      </c>
      <c r="E16" s="50" t="s">
        <v>251</v>
      </c>
    </row>
    <row r="17" spans="1:5" ht="31.5" x14ac:dyDescent="0.25">
      <c r="A17" s="4">
        <v>16</v>
      </c>
      <c r="B17" s="2" t="s">
        <v>529</v>
      </c>
      <c r="C17" s="2" t="s">
        <v>555</v>
      </c>
      <c r="D17" s="2" t="s">
        <v>556</v>
      </c>
      <c r="E17" s="50" t="s">
        <v>567</v>
      </c>
    </row>
    <row r="18" spans="1:5" x14ac:dyDescent="0.25">
      <c r="A18" s="4">
        <v>17</v>
      </c>
      <c r="B18" s="2" t="s">
        <v>462</v>
      </c>
      <c r="C18" s="2" t="s">
        <v>555</v>
      </c>
      <c r="D18" s="2" t="s">
        <v>556</v>
      </c>
      <c r="E18" s="50" t="s">
        <v>261</v>
      </c>
    </row>
    <row r="19" spans="1:5" ht="47.25" x14ac:dyDescent="0.25">
      <c r="A19" s="4">
        <v>18</v>
      </c>
      <c r="B19" s="2" t="s">
        <v>568</v>
      </c>
      <c r="C19" s="2" t="s">
        <v>555</v>
      </c>
      <c r="D19" s="2" t="s">
        <v>556</v>
      </c>
      <c r="E19" s="50" t="s">
        <v>569</v>
      </c>
    </row>
    <row r="20" spans="1:5" x14ac:dyDescent="0.25">
      <c r="A20" s="4">
        <v>19</v>
      </c>
      <c r="B20" s="2" t="s">
        <v>464</v>
      </c>
      <c r="C20" s="2" t="s">
        <v>555</v>
      </c>
      <c r="D20" s="2" t="s">
        <v>556</v>
      </c>
      <c r="E20" s="50" t="s">
        <v>272</v>
      </c>
    </row>
    <row r="21" spans="1:5" x14ac:dyDescent="0.25">
      <c r="A21" s="4">
        <v>20</v>
      </c>
      <c r="B21" s="2" t="s">
        <v>570</v>
      </c>
      <c r="C21" s="2" t="s">
        <v>555</v>
      </c>
      <c r="D21" s="2" t="s">
        <v>556</v>
      </c>
      <c r="E21" s="50" t="s">
        <v>275</v>
      </c>
    </row>
    <row r="22" spans="1:5" x14ac:dyDescent="0.25">
      <c r="A22" s="4">
        <v>21</v>
      </c>
      <c r="B22" s="2" t="s">
        <v>571</v>
      </c>
      <c r="C22" s="2" t="s">
        <v>572</v>
      </c>
      <c r="D22" s="2" t="s">
        <v>556</v>
      </c>
      <c r="E22" s="50" t="s">
        <v>229</v>
      </c>
    </row>
    <row r="23" spans="1:5" x14ac:dyDescent="0.25">
      <c r="A23" s="4">
        <v>22</v>
      </c>
      <c r="B23" s="2" t="s">
        <v>573</v>
      </c>
      <c r="C23" s="2" t="s">
        <v>572</v>
      </c>
      <c r="D23" s="2" t="s">
        <v>556</v>
      </c>
      <c r="E23" s="50" t="s">
        <v>230</v>
      </c>
    </row>
    <row r="24" spans="1:5" x14ac:dyDescent="0.25">
      <c r="A24" s="4">
        <v>23</v>
      </c>
      <c r="B24" s="2" t="s">
        <v>411</v>
      </c>
      <c r="C24" s="2" t="s">
        <v>572</v>
      </c>
      <c r="D24" s="2" t="s">
        <v>556</v>
      </c>
      <c r="E24" s="50" t="s">
        <v>95</v>
      </c>
    </row>
    <row r="25" spans="1:5" x14ac:dyDescent="0.25">
      <c r="A25" s="4">
        <v>24</v>
      </c>
      <c r="B25" s="2" t="s">
        <v>574</v>
      </c>
      <c r="C25" s="2" t="s">
        <v>572</v>
      </c>
      <c r="D25" s="2" t="s">
        <v>556</v>
      </c>
      <c r="E25" s="50" t="s">
        <v>234</v>
      </c>
    </row>
    <row r="26" spans="1:5" x14ac:dyDescent="0.25">
      <c r="A26" s="4">
        <v>25</v>
      </c>
      <c r="B26" s="2" t="s">
        <v>575</v>
      </c>
      <c r="C26" s="2" t="s">
        <v>572</v>
      </c>
      <c r="D26" s="2" t="s">
        <v>556</v>
      </c>
      <c r="E26" s="50" t="s">
        <v>235</v>
      </c>
    </row>
    <row r="27" spans="1:5" x14ac:dyDescent="0.25">
      <c r="A27" s="4">
        <v>26</v>
      </c>
      <c r="B27" s="2" t="s">
        <v>576</v>
      </c>
      <c r="C27" s="2" t="s">
        <v>572</v>
      </c>
      <c r="D27" s="2" t="s">
        <v>556</v>
      </c>
      <c r="E27" s="50" t="s">
        <v>235</v>
      </c>
    </row>
    <row r="28" spans="1:5" x14ac:dyDescent="0.25">
      <c r="A28" s="4">
        <v>27</v>
      </c>
      <c r="B28" s="2" t="s">
        <v>577</v>
      </c>
      <c r="C28" s="2" t="s">
        <v>572</v>
      </c>
      <c r="D28" s="2" t="s">
        <v>556</v>
      </c>
      <c r="E28" s="50" t="s">
        <v>241</v>
      </c>
    </row>
    <row r="29" spans="1:5" x14ac:dyDescent="0.25">
      <c r="A29" s="4">
        <v>28</v>
      </c>
      <c r="B29" s="2" t="s">
        <v>578</v>
      </c>
      <c r="C29" s="2" t="s">
        <v>572</v>
      </c>
      <c r="D29" s="2" t="s">
        <v>556</v>
      </c>
      <c r="E29" s="50" t="s">
        <v>249</v>
      </c>
    </row>
    <row r="30" spans="1:5" x14ac:dyDescent="0.25">
      <c r="A30" s="4">
        <v>29</v>
      </c>
      <c r="B30" s="2" t="s">
        <v>461</v>
      </c>
      <c r="C30" s="2" t="s">
        <v>572</v>
      </c>
      <c r="D30" s="2" t="s">
        <v>556</v>
      </c>
      <c r="E30" s="50" t="s">
        <v>251</v>
      </c>
    </row>
    <row r="31" spans="1:5" x14ac:dyDescent="0.25">
      <c r="A31" s="4">
        <v>30</v>
      </c>
      <c r="B31" s="2" t="s">
        <v>413</v>
      </c>
      <c r="C31" s="2" t="s">
        <v>572</v>
      </c>
      <c r="D31" s="2" t="s">
        <v>556</v>
      </c>
      <c r="E31" s="50" t="s">
        <v>254</v>
      </c>
    </row>
    <row r="32" spans="1:5" x14ac:dyDescent="0.25">
      <c r="A32" s="4">
        <v>31</v>
      </c>
      <c r="B32" s="2" t="s">
        <v>579</v>
      </c>
      <c r="C32" s="2" t="s">
        <v>572</v>
      </c>
      <c r="D32" s="2" t="s">
        <v>556</v>
      </c>
      <c r="E32" s="50" t="s">
        <v>255</v>
      </c>
    </row>
    <row r="33" spans="1:5" x14ac:dyDescent="0.25">
      <c r="A33" s="4">
        <v>32</v>
      </c>
      <c r="B33" s="2" t="s">
        <v>580</v>
      </c>
      <c r="C33" s="2" t="s">
        <v>572</v>
      </c>
      <c r="D33" s="2" t="s">
        <v>556</v>
      </c>
      <c r="E33" s="50" t="s">
        <v>258</v>
      </c>
    </row>
    <row r="34" spans="1:5" x14ac:dyDescent="0.25">
      <c r="A34" s="4">
        <v>33</v>
      </c>
      <c r="B34" s="2" t="s">
        <v>581</v>
      </c>
      <c r="C34" s="2" t="s">
        <v>572</v>
      </c>
      <c r="D34" s="2" t="s">
        <v>556</v>
      </c>
      <c r="E34" s="50" t="s">
        <v>262</v>
      </c>
    </row>
    <row r="35" spans="1:5" x14ac:dyDescent="0.25">
      <c r="A35" s="4">
        <v>34</v>
      </c>
      <c r="B35" s="2" t="s">
        <v>463</v>
      </c>
      <c r="C35" s="2" t="s">
        <v>572</v>
      </c>
      <c r="D35" s="2" t="s">
        <v>556</v>
      </c>
      <c r="E35" s="50" t="s">
        <v>264</v>
      </c>
    </row>
    <row r="36" spans="1:5" x14ac:dyDescent="0.25">
      <c r="A36" s="4">
        <v>35</v>
      </c>
      <c r="B36" s="2" t="s">
        <v>582</v>
      </c>
      <c r="C36" s="2" t="s">
        <v>572</v>
      </c>
      <c r="D36" s="2" t="s">
        <v>556</v>
      </c>
      <c r="E36" s="50" t="s">
        <v>266</v>
      </c>
    </row>
    <row r="37" spans="1:5" x14ac:dyDescent="0.25">
      <c r="A37" s="4">
        <v>36</v>
      </c>
      <c r="B37" s="2" t="s">
        <v>414</v>
      </c>
      <c r="C37" s="2" t="s">
        <v>572</v>
      </c>
      <c r="D37" s="2" t="s">
        <v>556</v>
      </c>
      <c r="E37" s="50" t="s">
        <v>268</v>
      </c>
    </row>
    <row r="38" spans="1:5" x14ac:dyDescent="0.25">
      <c r="A38" s="4">
        <v>37</v>
      </c>
      <c r="B38" s="2" t="s">
        <v>465</v>
      </c>
      <c r="C38" s="2" t="s">
        <v>572</v>
      </c>
      <c r="D38" s="2" t="s">
        <v>556</v>
      </c>
      <c r="E38" s="50" t="s">
        <v>583</v>
      </c>
    </row>
    <row r="39" spans="1:5" x14ac:dyDescent="0.25">
      <c r="A39" s="4">
        <v>38</v>
      </c>
      <c r="B39" s="2" t="s">
        <v>466</v>
      </c>
      <c r="C39" s="2" t="s">
        <v>572</v>
      </c>
      <c r="D39" s="2" t="s">
        <v>556</v>
      </c>
      <c r="E39" s="50" t="s">
        <v>275</v>
      </c>
    </row>
    <row r="40" spans="1:5" x14ac:dyDescent="0.25">
      <c r="A40" s="4">
        <v>39</v>
      </c>
      <c r="B40" s="2" t="s">
        <v>467</v>
      </c>
      <c r="C40" s="2" t="s">
        <v>572</v>
      </c>
      <c r="D40" s="2" t="s">
        <v>556</v>
      </c>
      <c r="E40" s="50" t="s">
        <v>276</v>
      </c>
    </row>
    <row r="41" spans="1:5" x14ac:dyDescent="0.25">
      <c r="A41" s="4">
        <v>40</v>
      </c>
      <c r="B41" s="2" t="s">
        <v>547</v>
      </c>
      <c r="C41" s="2" t="s">
        <v>572</v>
      </c>
      <c r="D41" s="2" t="s">
        <v>556</v>
      </c>
      <c r="E41" s="50" t="s">
        <v>282</v>
      </c>
    </row>
    <row r="42" spans="1:5" x14ac:dyDescent="0.25">
      <c r="A42" s="4">
        <v>41</v>
      </c>
      <c r="B42" s="2" t="s">
        <v>584</v>
      </c>
      <c r="C42" s="2" t="s">
        <v>572</v>
      </c>
      <c r="D42" s="2" t="s">
        <v>556</v>
      </c>
      <c r="E42" s="50" t="s">
        <v>284</v>
      </c>
    </row>
    <row r="43" spans="1:5" x14ac:dyDescent="0.25">
      <c r="A43" s="4">
        <v>42</v>
      </c>
      <c r="B43" s="2" t="s">
        <v>468</v>
      </c>
      <c r="C43" s="2" t="s">
        <v>572</v>
      </c>
      <c r="D43" s="2" t="s">
        <v>556</v>
      </c>
      <c r="E43" s="50" t="s">
        <v>285</v>
      </c>
    </row>
    <row r="44" spans="1:5" x14ac:dyDescent="0.25">
      <c r="A44" s="4">
        <v>43</v>
      </c>
      <c r="B44" s="2" t="s">
        <v>469</v>
      </c>
      <c r="C44" s="2" t="s">
        <v>572</v>
      </c>
      <c r="D44" s="2" t="s">
        <v>556</v>
      </c>
      <c r="E44" s="50" t="s">
        <v>286</v>
      </c>
    </row>
    <row r="45" spans="1:5" x14ac:dyDescent="0.25">
      <c r="A45" s="4">
        <v>44</v>
      </c>
      <c r="B45" s="2" t="s">
        <v>470</v>
      </c>
      <c r="C45" s="2" t="s">
        <v>572</v>
      </c>
      <c r="D45" s="2" t="s">
        <v>556</v>
      </c>
      <c r="E45" s="50" t="s">
        <v>292</v>
      </c>
    </row>
    <row r="46" spans="1:5" x14ac:dyDescent="0.25">
      <c r="A46" s="4">
        <v>45</v>
      </c>
      <c r="B46" s="2" t="s">
        <v>471</v>
      </c>
      <c r="C46" s="2" t="s">
        <v>572</v>
      </c>
      <c r="D46" s="2" t="s">
        <v>556</v>
      </c>
      <c r="E46" s="50" t="s">
        <v>295</v>
      </c>
    </row>
    <row r="47" spans="1:5" x14ac:dyDescent="0.25">
      <c r="A47" s="4">
        <v>46</v>
      </c>
      <c r="B47" s="2" t="s">
        <v>472</v>
      </c>
      <c r="C47" s="2" t="s">
        <v>572</v>
      </c>
      <c r="D47" s="2" t="s">
        <v>556</v>
      </c>
      <c r="E47" s="50" t="s">
        <v>300</v>
      </c>
    </row>
    <row r="48" spans="1:5" x14ac:dyDescent="0.25">
      <c r="A48" s="4">
        <v>47</v>
      </c>
      <c r="B48" s="2" t="s">
        <v>585</v>
      </c>
      <c r="C48" s="2" t="s">
        <v>572</v>
      </c>
      <c r="D48" s="2" t="s">
        <v>556</v>
      </c>
      <c r="E48" s="50" t="s">
        <v>308</v>
      </c>
    </row>
    <row r="49" spans="1:5" x14ac:dyDescent="0.25">
      <c r="A49" s="4">
        <v>48</v>
      </c>
      <c r="B49" s="2" t="s">
        <v>586</v>
      </c>
      <c r="C49" s="2" t="s">
        <v>587</v>
      </c>
      <c r="D49" s="2" t="s">
        <v>556</v>
      </c>
      <c r="E49" s="50" t="s">
        <v>111</v>
      </c>
    </row>
    <row r="50" spans="1:5" x14ac:dyDescent="0.25">
      <c r="A50" s="4">
        <v>49</v>
      </c>
      <c r="B50" s="2" t="s">
        <v>588</v>
      </c>
      <c r="C50" s="2" t="s">
        <v>587</v>
      </c>
      <c r="D50" s="2" t="s">
        <v>556</v>
      </c>
      <c r="E50" s="50" t="s">
        <v>589</v>
      </c>
    </row>
    <row r="51" spans="1:5" ht="31.5" x14ac:dyDescent="0.25">
      <c r="A51" s="4">
        <v>50</v>
      </c>
      <c r="B51" s="2" t="s">
        <v>590</v>
      </c>
      <c r="C51" s="2" t="s">
        <v>587</v>
      </c>
      <c r="D51" s="2" t="s">
        <v>556</v>
      </c>
      <c r="E51" s="50" t="s">
        <v>591</v>
      </c>
    </row>
    <row r="52" spans="1:5" x14ac:dyDescent="0.25">
      <c r="A52" s="4">
        <v>51</v>
      </c>
      <c r="B52" s="2" t="s">
        <v>592</v>
      </c>
      <c r="C52" s="2" t="s">
        <v>587</v>
      </c>
      <c r="D52" s="2" t="s">
        <v>556</v>
      </c>
      <c r="E52" s="50" t="s">
        <v>111</v>
      </c>
    </row>
    <row r="53" spans="1:5" x14ac:dyDescent="0.25">
      <c r="A53" s="4">
        <v>52</v>
      </c>
      <c r="B53" s="2" t="s">
        <v>593</v>
      </c>
      <c r="C53" s="2" t="s">
        <v>587</v>
      </c>
      <c r="D53" s="2" t="s">
        <v>556</v>
      </c>
      <c r="E53" s="50" t="s">
        <v>111</v>
      </c>
    </row>
    <row r="54" spans="1:5" x14ac:dyDescent="0.25">
      <c r="A54" s="4">
        <v>53</v>
      </c>
      <c r="B54" s="2" t="s">
        <v>594</v>
      </c>
      <c r="C54" s="2" t="s">
        <v>587</v>
      </c>
      <c r="D54" s="2" t="s">
        <v>556</v>
      </c>
      <c r="E54" s="50" t="s">
        <v>111</v>
      </c>
    </row>
    <row r="55" spans="1:5" x14ac:dyDescent="0.25">
      <c r="A55" s="4">
        <v>54</v>
      </c>
      <c r="B55" s="2" t="s">
        <v>595</v>
      </c>
      <c r="C55" s="2" t="s">
        <v>587</v>
      </c>
      <c r="D55" s="2" t="s">
        <v>556</v>
      </c>
      <c r="E55" s="50" t="s">
        <v>111</v>
      </c>
    </row>
    <row r="56" spans="1:5" x14ac:dyDescent="0.25">
      <c r="A56" s="4">
        <v>55</v>
      </c>
      <c r="B56" s="2" t="s">
        <v>596</v>
      </c>
      <c r="C56" s="2" t="s">
        <v>587</v>
      </c>
      <c r="D56" s="2" t="s">
        <v>556</v>
      </c>
      <c r="E56" s="50" t="s">
        <v>111</v>
      </c>
    </row>
    <row r="57" spans="1:5" x14ac:dyDescent="0.25">
      <c r="A57" s="4">
        <v>56</v>
      </c>
      <c r="B57" s="2" t="s">
        <v>597</v>
      </c>
      <c r="C57" s="2" t="s">
        <v>587</v>
      </c>
      <c r="D57" s="2" t="s">
        <v>556</v>
      </c>
      <c r="E57" s="50" t="s">
        <v>111</v>
      </c>
    </row>
    <row r="58" spans="1:5" x14ac:dyDescent="0.25">
      <c r="A58" s="4">
        <v>57</v>
      </c>
      <c r="B58" s="2" t="s">
        <v>598</v>
      </c>
      <c r="C58" s="2" t="s">
        <v>587</v>
      </c>
      <c r="D58" s="2" t="s">
        <v>556</v>
      </c>
      <c r="E58" s="50" t="s">
        <v>111</v>
      </c>
    </row>
    <row r="59" spans="1:5" x14ac:dyDescent="0.25">
      <c r="A59" s="4">
        <v>58</v>
      </c>
      <c r="B59" s="2" t="s">
        <v>599</v>
      </c>
      <c r="C59" s="2" t="s">
        <v>587</v>
      </c>
      <c r="D59" s="2" t="s">
        <v>556</v>
      </c>
      <c r="E59" s="50" t="s">
        <v>111</v>
      </c>
    </row>
    <row r="60" spans="1:5" x14ac:dyDescent="0.25">
      <c r="A60" s="4">
        <v>59</v>
      </c>
      <c r="B60" s="2" t="s">
        <v>600</v>
      </c>
      <c r="C60" s="2" t="s">
        <v>587</v>
      </c>
      <c r="D60" s="2" t="s">
        <v>556</v>
      </c>
      <c r="E60" s="50" t="s">
        <v>111</v>
      </c>
    </row>
    <row r="61" spans="1:5" ht="110.25" x14ac:dyDescent="0.25">
      <c r="A61" s="4">
        <v>60</v>
      </c>
      <c r="B61" s="2" t="s">
        <v>601</v>
      </c>
      <c r="C61" s="2" t="s">
        <v>587</v>
      </c>
      <c r="D61" s="2" t="s">
        <v>556</v>
      </c>
      <c r="E61" s="50" t="s">
        <v>602</v>
      </c>
    </row>
    <row r="62" spans="1:5" x14ac:dyDescent="0.25">
      <c r="A62" s="4">
        <v>61</v>
      </c>
      <c r="B62" s="2" t="s">
        <v>603</v>
      </c>
      <c r="C62" s="2" t="s">
        <v>587</v>
      </c>
      <c r="D62" s="2" t="s">
        <v>556</v>
      </c>
      <c r="E62" s="50" t="s">
        <v>250</v>
      </c>
    </row>
    <row r="63" spans="1:5" x14ac:dyDescent="0.25">
      <c r="A63" s="4">
        <v>62</v>
      </c>
      <c r="B63" s="2" t="s">
        <v>428</v>
      </c>
      <c r="C63" s="2" t="s">
        <v>587</v>
      </c>
      <c r="D63" s="2" t="s">
        <v>556</v>
      </c>
      <c r="E63" s="50" t="s">
        <v>236</v>
      </c>
    </row>
    <row r="64" spans="1:5" x14ac:dyDescent="0.25">
      <c r="A64" s="4">
        <v>63</v>
      </c>
      <c r="B64" s="2" t="s">
        <v>458</v>
      </c>
      <c r="C64" s="2" t="s">
        <v>587</v>
      </c>
      <c r="D64" s="2" t="s">
        <v>556</v>
      </c>
    </row>
    <row r="65" spans="1:5" ht="78.75" x14ac:dyDescent="0.25">
      <c r="A65" s="4">
        <v>64</v>
      </c>
      <c r="B65" s="2" t="s">
        <v>388</v>
      </c>
      <c r="C65" s="2" t="s">
        <v>587</v>
      </c>
      <c r="D65" s="2" t="s">
        <v>375</v>
      </c>
      <c r="E65" s="50" t="s">
        <v>604</v>
      </c>
    </row>
    <row r="66" spans="1:5" ht="63" x14ac:dyDescent="0.25">
      <c r="A66" s="4">
        <v>65</v>
      </c>
      <c r="B66" s="2" t="s">
        <v>389</v>
      </c>
      <c r="C66" s="2" t="s">
        <v>587</v>
      </c>
      <c r="D66" s="2" t="s">
        <v>375</v>
      </c>
      <c r="E66" s="50" t="s">
        <v>605</v>
      </c>
    </row>
    <row r="67" spans="1:5" x14ac:dyDescent="0.25">
      <c r="A67" s="4">
        <v>66</v>
      </c>
      <c r="B67" s="2" t="s">
        <v>606</v>
      </c>
      <c r="C67" s="2" t="s">
        <v>607</v>
      </c>
      <c r="D67" s="2" t="s">
        <v>556</v>
      </c>
    </row>
    <row r="68" spans="1:5" x14ac:dyDescent="0.25">
      <c r="A68" s="4">
        <v>67</v>
      </c>
      <c r="B68" s="2" t="s">
        <v>608</v>
      </c>
      <c r="C68" s="2" t="s">
        <v>607</v>
      </c>
      <c r="D68" s="2" t="s">
        <v>556</v>
      </c>
    </row>
    <row r="69" spans="1:5" x14ac:dyDescent="0.25">
      <c r="A69" s="4">
        <v>68</v>
      </c>
      <c r="B69" s="2" t="s">
        <v>609</v>
      </c>
      <c r="C69" s="2" t="s">
        <v>607</v>
      </c>
      <c r="D69" s="2" t="s">
        <v>556</v>
      </c>
    </row>
    <row r="70" spans="1:5" x14ac:dyDescent="0.25">
      <c r="A70" s="4">
        <v>69</v>
      </c>
      <c r="B70" s="2" t="s">
        <v>400</v>
      </c>
      <c r="C70" s="2" t="s">
        <v>607</v>
      </c>
      <c r="D70" s="2" t="s">
        <v>556</v>
      </c>
      <c r="E70" s="50" t="s">
        <v>610</v>
      </c>
    </row>
    <row r="71" spans="1:5" x14ac:dyDescent="0.25">
      <c r="A71" s="4">
        <v>70</v>
      </c>
      <c r="B71" s="2" t="s">
        <v>376</v>
      </c>
      <c r="C71" s="2" t="s">
        <v>607</v>
      </c>
      <c r="D71" s="2" t="s">
        <v>556</v>
      </c>
      <c r="E71" s="50" t="s">
        <v>611</v>
      </c>
    </row>
    <row r="72" spans="1:5" x14ac:dyDescent="0.25">
      <c r="A72" s="4">
        <v>71</v>
      </c>
      <c r="B72" s="2" t="s">
        <v>377</v>
      </c>
      <c r="C72" s="2" t="s">
        <v>607</v>
      </c>
      <c r="D72" s="2" t="s">
        <v>375</v>
      </c>
      <c r="E72" s="50" t="s">
        <v>110</v>
      </c>
    </row>
    <row r="73" spans="1:5" x14ac:dyDescent="0.25">
      <c r="A73" s="4">
        <v>72</v>
      </c>
      <c r="B73" s="2" t="s">
        <v>387</v>
      </c>
      <c r="C73" s="2" t="s">
        <v>607</v>
      </c>
      <c r="D73" s="2" t="s">
        <v>375</v>
      </c>
      <c r="E73" s="50" t="s">
        <v>136</v>
      </c>
    </row>
    <row r="74" spans="1:5" x14ac:dyDescent="0.25">
      <c r="A74" s="4">
        <v>73</v>
      </c>
      <c r="B74" s="2" t="s">
        <v>386</v>
      </c>
      <c r="C74" s="2" t="s">
        <v>607</v>
      </c>
      <c r="D74" s="2" t="s">
        <v>375</v>
      </c>
      <c r="E74" s="50" t="s">
        <v>137</v>
      </c>
    </row>
    <row r="75" spans="1:5" x14ac:dyDescent="0.25">
      <c r="A75" s="4">
        <v>74</v>
      </c>
      <c r="B75" s="2" t="s">
        <v>391</v>
      </c>
      <c r="C75" s="2" t="s">
        <v>607</v>
      </c>
      <c r="D75" s="2" t="s">
        <v>375</v>
      </c>
      <c r="E75" s="50" t="s">
        <v>183</v>
      </c>
    </row>
    <row r="76" spans="1:5" x14ac:dyDescent="0.25">
      <c r="A76" s="4">
        <v>75</v>
      </c>
      <c r="B76" s="2" t="s">
        <v>390</v>
      </c>
      <c r="C76" s="2" t="s">
        <v>607</v>
      </c>
      <c r="D76" s="2" t="s">
        <v>375</v>
      </c>
      <c r="E76" s="50" t="s">
        <v>184</v>
      </c>
    </row>
    <row r="77" spans="1:5" ht="78.75" x14ac:dyDescent="0.25">
      <c r="A77" s="4">
        <v>76</v>
      </c>
      <c r="B77" s="2" t="s">
        <v>402</v>
      </c>
      <c r="C77" s="2" t="s">
        <v>607</v>
      </c>
      <c r="D77" s="2" t="s">
        <v>375</v>
      </c>
      <c r="E77" s="50" t="s">
        <v>612</v>
      </c>
    </row>
    <row r="78" spans="1:5" x14ac:dyDescent="0.25">
      <c r="A78" s="4">
        <v>77</v>
      </c>
      <c r="B78" s="2" t="s">
        <v>393</v>
      </c>
      <c r="C78" s="2" t="s">
        <v>607</v>
      </c>
      <c r="D78" s="2" t="s">
        <v>375</v>
      </c>
      <c r="E78" s="50" t="s">
        <v>613</v>
      </c>
    </row>
    <row r="79" spans="1:5" x14ac:dyDescent="0.25">
      <c r="A79" s="4">
        <v>78</v>
      </c>
      <c r="B79" s="2" t="s">
        <v>614</v>
      </c>
      <c r="C79" s="2" t="s">
        <v>607</v>
      </c>
      <c r="D79" s="2" t="s">
        <v>556</v>
      </c>
    </row>
    <row r="80" spans="1:5" x14ac:dyDescent="0.25">
      <c r="A80" s="4">
        <v>79</v>
      </c>
      <c r="B80" s="2" t="s">
        <v>403</v>
      </c>
      <c r="C80" s="2" t="s">
        <v>607</v>
      </c>
      <c r="D80" s="2" t="s">
        <v>375</v>
      </c>
      <c r="E80" s="50" t="s">
        <v>615</v>
      </c>
    </row>
    <row r="81" spans="1:5" x14ac:dyDescent="0.25">
      <c r="A81" s="4">
        <v>80</v>
      </c>
      <c r="B81" s="2" t="s">
        <v>404</v>
      </c>
      <c r="C81" s="2" t="s">
        <v>607</v>
      </c>
      <c r="D81" s="2" t="s">
        <v>375</v>
      </c>
      <c r="E81" s="50" t="s">
        <v>616</v>
      </c>
    </row>
    <row r="82" spans="1:5" x14ac:dyDescent="0.25">
      <c r="A82" s="4">
        <v>81</v>
      </c>
      <c r="B82" s="2" t="s">
        <v>454</v>
      </c>
      <c r="C82" s="2" t="s">
        <v>607</v>
      </c>
      <c r="D82" s="2" t="s">
        <v>375</v>
      </c>
      <c r="E82" s="50" t="s">
        <v>184</v>
      </c>
    </row>
    <row r="83" spans="1:5" x14ac:dyDescent="0.25">
      <c r="A83" s="4">
        <v>82</v>
      </c>
      <c r="B83" s="2" t="s">
        <v>405</v>
      </c>
      <c r="C83" s="2" t="s">
        <v>607</v>
      </c>
      <c r="D83" s="2" t="s">
        <v>375</v>
      </c>
      <c r="E83" s="50" t="s">
        <v>359</v>
      </c>
    </row>
    <row r="84" spans="1:5" x14ac:dyDescent="0.25">
      <c r="A84" s="4">
        <v>83</v>
      </c>
      <c r="B84" s="2" t="s">
        <v>392</v>
      </c>
      <c r="C84" s="2" t="s">
        <v>607</v>
      </c>
      <c r="D84" s="2" t="s">
        <v>375</v>
      </c>
      <c r="E84" s="50" t="s">
        <v>194</v>
      </c>
    </row>
    <row r="85" spans="1:5" x14ac:dyDescent="0.25">
      <c r="A85" s="4">
        <v>84</v>
      </c>
      <c r="B85" s="2" t="s">
        <v>406</v>
      </c>
      <c r="C85" s="2" t="s">
        <v>607</v>
      </c>
      <c r="D85" s="2" t="s">
        <v>375</v>
      </c>
      <c r="E85" s="50" t="s">
        <v>617</v>
      </c>
    </row>
    <row r="86" spans="1:5" ht="78.75" x14ac:dyDescent="0.25">
      <c r="A86" s="4">
        <v>85</v>
      </c>
      <c r="B86" s="2" t="s">
        <v>408</v>
      </c>
      <c r="C86" s="2" t="s">
        <v>607</v>
      </c>
      <c r="D86" s="2" t="s">
        <v>556</v>
      </c>
      <c r="E86" s="50" t="s">
        <v>618</v>
      </c>
    </row>
    <row r="87" spans="1:5" x14ac:dyDescent="0.25">
      <c r="A87" s="4">
        <v>86</v>
      </c>
      <c r="B87" s="2" t="s">
        <v>407</v>
      </c>
      <c r="C87" s="2" t="s">
        <v>607</v>
      </c>
      <c r="D87" s="2" t="s">
        <v>375</v>
      </c>
      <c r="E87" s="50" t="s">
        <v>619</v>
      </c>
    </row>
    <row r="88" spans="1:5" x14ac:dyDescent="0.25">
      <c r="A88" s="4">
        <v>87</v>
      </c>
      <c r="B88" s="2" t="s">
        <v>409</v>
      </c>
      <c r="C88" s="2" t="s">
        <v>607</v>
      </c>
      <c r="D88" s="2" t="s">
        <v>375</v>
      </c>
      <c r="E88" s="50" t="s">
        <v>620</v>
      </c>
    </row>
    <row r="89" spans="1:5" x14ac:dyDescent="0.25">
      <c r="A89" s="4">
        <v>88</v>
      </c>
      <c r="B89" s="2" t="s">
        <v>410</v>
      </c>
      <c r="C89" s="2" t="s">
        <v>607</v>
      </c>
      <c r="D89" s="2" t="s">
        <v>375</v>
      </c>
      <c r="E89" s="50" t="s">
        <v>620</v>
      </c>
    </row>
    <row r="90" spans="1:5" x14ac:dyDescent="0.25">
      <c r="A90" s="4">
        <v>89</v>
      </c>
      <c r="B90" s="2" t="s">
        <v>621</v>
      </c>
      <c r="C90" s="2" t="s">
        <v>607</v>
      </c>
      <c r="D90" s="2" t="s">
        <v>556</v>
      </c>
      <c r="E90" s="50" t="s">
        <v>220</v>
      </c>
    </row>
    <row r="91" spans="1:5" x14ac:dyDescent="0.25">
      <c r="A91" s="4">
        <v>90</v>
      </c>
      <c r="B91" s="2" t="s">
        <v>622</v>
      </c>
      <c r="C91" s="2" t="s">
        <v>607</v>
      </c>
      <c r="D91" s="2" t="s">
        <v>556</v>
      </c>
      <c r="E91" s="50" t="s">
        <v>623</v>
      </c>
    </row>
    <row r="92" spans="1:5" x14ac:dyDescent="0.25">
      <c r="A92" s="4">
        <v>91</v>
      </c>
      <c r="B92" s="2" t="s">
        <v>533</v>
      </c>
      <c r="C92" s="2" t="s">
        <v>607</v>
      </c>
      <c r="D92" s="2" t="s">
        <v>556</v>
      </c>
      <c r="E92" s="50" t="s">
        <v>624</v>
      </c>
    </row>
    <row r="93" spans="1:5" x14ac:dyDescent="0.25">
      <c r="A93" s="4">
        <v>92</v>
      </c>
      <c r="B93" s="2" t="s">
        <v>548</v>
      </c>
      <c r="C93" s="2" t="s">
        <v>607</v>
      </c>
      <c r="D93" s="2" t="s">
        <v>556</v>
      </c>
      <c r="E93" s="50" t="s">
        <v>225</v>
      </c>
    </row>
    <row r="94" spans="1:5" x14ac:dyDescent="0.25">
      <c r="A94" s="4">
        <v>93</v>
      </c>
      <c r="B94" s="2" t="s">
        <v>534</v>
      </c>
      <c r="C94" s="2" t="s">
        <v>607</v>
      </c>
      <c r="D94" s="2" t="s">
        <v>556</v>
      </c>
      <c r="E94" s="50" t="s">
        <v>227</v>
      </c>
    </row>
    <row r="95" spans="1:5" x14ac:dyDescent="0.25">
      <c r="A95" s="4">
        <v>94</v>
      </c>
      <c r="B95" s="2" t="s">
        <v>535</v>
      </c>
      <c r="C95" s="2" t="s">
        <v>607</v>
      </c>
      <c r="D95" s="2" t="s">
        <v>556</v>
      </c>
      <c r="E95" s="50" t="s">
        <v>228</v>
      </c>
    </row>
    <row r="96" spans="1:5" x14ac:dyDescent="0.25">
      <c r="A96" s="4">
        <v>95</v>
      </c>
      <c r="B96" s="2" t="s">
        <v>455</v>
      </c>
      <c r="C96" s="2" t="s">
        <v>607</v>
      </c>
      <c r="D96" s="2" t="s">
        <v>556</v>
      </c>
      <c r="E96" s="50" t="s">
        <v>625</v>
      </c>
    </row>
    <row r="97" spans="1:5" x14ac:dyDescent="0.25">
      <c r="A97" s="4">
        <v>96</v>
      </c>
      <c r="B97" s="2" t="s">
        <v>626</v>
      </c>
      <c r="C97" s="2" t="s">
        <v>607</v>
      </c>
      <c r="D97" s="2" t="s">
        <v>556</v>
      </c>
      <c r="E97" s="50" t="s">
        <v>230</v>
      </c>
    </row>
    <row r="98" spans="1:5" x14ac:dyDescent="0.25">
      <c r="A98" s="4">
        <v>97</v>
      </c>
      <c r="B98" s="2" t="s">
        <v>536</v>
      </c>
      <c r="C98" s="2" t="s">
        <v>607</v>
      </c>
      <c r="D98" s="2" t="s">
        <v>556</v>
      </c>
      <c r="E98" s="50" t="s">
        <v>232</v>
      </c>
    </row>
    <row r="99" spans="1:5" x14ac:dyDescent="0.25">
      <c r="A99" s="4">
        <v>98</v>
      </c>
      <c r="B99" s="2" t="s">
        <v>627</v>
      </c>
      <c r="C99" s="2" t="s">
        <v>607</v>
      </c>
      <c r="D99" s="2" t="s">
        <v>556</v>
      </c>
      <c r="E99" s="50" t="s">
        <v>234</v>
      </c>
    </row>
    <row r="100" spans="1:5" x14ac:dyDescent="0.25">
      <c r="A100" s="4">
        <v>99</v>
      </c>
      <c r="B100" s="2" t="s">
        <v>628</v>
      </c>
      <c r="C100" s="2" t="s">
        <v>607</v>
      </c>
      <c r="D100" s="2" t="s">
        <v>556</v>
      </c>
    </row>
    <row r="101" spans="1:5" x14ac:dyDescent="0.25">
      <c r="A101" s="4">
        <v>100</v>
      </c>
      <c r="B101" s="2" t="s">
        <v>629</v>
      </c>
      <c r="C101" s="2" t="s">
        <v>607</v>
      </c>
      <c r="D101" s="2" t="s">
        <v>556</v>
      </c>
      <c r="E101" s="50" t="s">
        <v>235</v>
      </c>
    </row>
    <row r="102" spans="1:5" x14ac:dyDescent="0.25">
      <c r="A102" s="4">
        <v>101</v>
      </c>
      <c r="B102" s="2" t="s">
        <v>497</v>
      </c>
      <c r="C102" s="2" t="s">
        <v>607</v>
      </c>
      <c r="D102" s="2" t="s">
        <v>556</v>
      </c>
      <c r="E102" s="50" t="s">
        <v>235</v>
      </c>
    </row>
    <row r="103" spans="1:5" x14ac:dyDescent="0.25">
      <c r="A103" s="4">
        <v>102</v>
      </c>
      <c r="B103" s="2" t="s">
        <v>630</v>
      </c>
      <c r="C103" s="2" t="s">
        <v>607</v>
      </c>
      <c r="D103" s="2" t="s">
        <v>556</v>
      </c>
      <c r="E103" s="50" t="s">
        <v>631</v>
      </c>
    </row>
    <row r="104" spans="1:5" x14ac:dyDescent="0.25">
      <c r="A104" s="4">
        <v>103</v>
      </c>
      <c r="B104" s="2" t="s">
        <v>632</v>
      </c>
      <c r="C104" s="2" t="s">
        <v>607</v>
      </c>
      <c r="D104" s="2" t="s">
        <v>556</v>
      </c>
      <c r="E104" s="50" t="s">
        <v>237</v>
      </c>
    </row>
    <row r="105" spans="1:5" x14ac:dyDescent="0.25">
      <c r="A105" s="4">
        <v>104</v>
      </c>
      <c r="B105" s="2" t="s">
        <v>633</v>
      </c>
      <c r="C105" s="2" t="s">
        <v>607</v>
      </c>
      <c r="D105" s="2" t="s">
        <v>556</v>
      </c>
      <c r="E105" s="50" t="s">
        <v>237</v>
      </c>
    </row>
    <row r="106" spans="1:5" x14ac:dyDescent="0.25">
      <c r="A106" s="4">
        <v>105</v>
      </c>
      <c r="B106" s="2" t="s">
        <v>634</v>
      </c>
      <c r="C106" s="2" t="s">
        <v>607</v>
      </c>
      <c r="D106" s="2" t="s">
        <v>556</v>
      </c>
      <c r="E106" s="50" t="s">
        <v>239</v>
      </c>
    </row>
    <row r="107" spans="1:5" x14ac:dyDescent="0.25">
      <c r="A107" s="4">
        <v>106</v>
      </c>
      <c r="B107" s="2" t="s">
        <v>539</v>
      </c>
      <c r="C107" s="2" t="s">
        <v>607</v>
      </c>
      <c r="D107" s="2" t="s">
        <v>556</v>
      </c>
      <c r="E107" s="50" t="s">
        <v>241</v>
      </c>
    </row>
    <row r="108" spans="1:5" x14ac:dyDescent="0.25">
      <c r="A108" s="4">
        <v>107</v>
      </c>
      <c r="B108" s="2" t="s">
        <v>540</v>
      </c>
      <c r="C108" s="2" t="s">
        <v>607</v>
      </c>
      <c r="D108" s="2" t="s">
        <v>556</v>
      </c>
      <c r="E108" s="50" t="s">
        <v>635</v>
      </c>
    </row>
    <row r="109" spans="1:5" x14ac:dyDescent="0.25">
      <c r="A109" s="4">
        <v>108</v>
      </c>
      <c r="B109" s="2" t="s">
        <v>636</v>
      </c>
      <c r="C109" s="2" t="s">
        <v>607</v>
      </c>
      <c r="D109" s="2" t="s">
        <v>556</v>
      </c>
      <c r="E109" s="50" t="s">
        <v>637</v>
      </c>
    </row>
    <row r="110" spans="1:5" x14ac:dyDescent="0.25">
      <c r="A110" s="4">
        <v>109</v>
      </c>
      <c r="B110" s="2" t="s">
        <v>638</v>
      </c>
      <c r="C110" s="2" t="s">
        <v>607</v>
      </c>
      <c r="D110" s="2" t="s">
        <v>556</v>
      </c>
      <c r="E110" s="50" t="s">
        <v>246</v>
      </c>
    </row>
    <row r="111" spans="1:5" x14ac:dyDescent="0.25">
      <c r="A111" s="4">
        <v>110</v>
      </c>
      <c r="B111" s="2" t="s">
        <v>639</v>
      </c>
      <c r="C111" s="2" t="s">
        <v>607</v>
      </c>
      <c r="D111" s="2" t="s">
        <v>556</v>
      </c>
      <c r="E111" s="50" t="s">
        <v>246</v>
      </c>
    </row>
    <row r="112" spans="1:5" x14ac:dyDescent="0.25">
      <c r="A112" s="4">
        <v>111</v>
      </c>
      <c r="B112" s="2" t="s">
        <v>459</v>
      </c>
      <c r="C112" s="2" t="s">
        <v>607</v>
      </c>
      <c r="D112" s="2" t="s">
        <v>556</v>
      </c>
      <c r="E112" s="50" t="s">
        <v>247</v>
      </c>
    </row>
    <row r="113" spans="1:5" x14ac:dyDescent="0.25">
      <c r="A113" s="4">
        <v>112</v>
      </c>
      <c r="B113" s="2" t="s">
        <v>460</v>
      </c>
      <c r="C113" s="2" t="s">
        <v>607</v>
      </c>
      <c r="D113" s="2" t="s">
        <v>556</v>
      </c>
      <c r="E113" s="50" t="s">
        <v>247</v>
      </c>
    </row>
    <row r="114" spans="1:5" ht="31.5" x14ac:dyDescent="0.25">
      <c r="A114" s="4">
        <v>113</v>
      </c>
      <c r="B114" s="2" t="s">
        <v>412</v>
      </c>
      <c r="C114" s="2" t="s">
        <v>607</v>
      </c>
      <c r="D114" s="2" t="s">
        <v>556</v>
      </c>
      <c r="E114" s="50" t="s">
        <v>640</v>
      </c>
    </row>
    <row r="115" spans="1:5" x14ac:dyDescent="0.25">
      <c r="A115" s="4">
        <v>114</v>
      </c>
      <c r="B115" s="2" t="s">
        <v>641</v>
      </c>
      <c r="C115" s="2" t="s">
        <v>607</v>
      </c>
      <c r="D115" s="2" t="s">
        <v>556</v>
      </c>
      <c r="E115" s="50" t="s">
        <v>255</v>
      </c>
    </row>
    <row r="116" spans="1:5" x14ac:dyDescent="0.25">
      <c r="A116" s="4">
        <v>115</v>
      </c>
      <c r="B116" s="2" t="s">
        <v>642</v>
      </c>
      <c r="C116" s="2" t="s">
        <v>607</v>
      </c>
      <c r="D116" s="2" t="s">
        <v>556</v>
      </c>
      <c r="E116" s="50" t="s">
        <v>643</v>
      </c>
    </row>
    <row r="117" spans="1:5" x14ac:dyDescent="0.25">
      <c r="A117" s="4">
        <v>116</v>
      </c>
      <c r="B117" s="2" t="s">
        <v>486</v>
      </c>
      <c r="C117" s="2" t="s">
        <v>607</v>
      </c>
      <c r="D117" s="2" t="s">
        <v>556</v>
      </c>
      <c r="E117" s="50" t="s">
        <v>644</v>
      </c>
    </row>
    <row r="118" spans="1:5" ht="31.5" x14ac:dyDescent="0.25">
      <c r="A118" s="4">
        <v>117</v>
      </c>
      <c r="B118" s="2" t="s">
        <v>645</v>
      </c>
      <c r="C118" s="2" t="s">
        <v>607</v>
      </c>
      <c r="D118" s="2" t="s">
        <v>556</v>
      </c>
      <c r="E118" s="50" t="s">
        <v>646</v>
      </c>
    </row>
    <row r="119" spans="1:5" x14ac:dyDescent="0.25">
      <c r="A119" s="4">
        <v>118</v>
      </c>
      <c r="B119" s="2" t="s">
        <v>647</v>
      </c>
      <c r="C119" s="2" t="s">
        <v>607</v>
      </c>
      <c r="D119" s="2" t="s">
        <v>556</v>
      </c>
      <c r="E119" s="50" t="s">
        <v>613</v>
      </c>
    </row>
    <row r="120" spans="1:5" x14ac:dyDescent="0.25">
      <c r="A120" s="4">
        <v>119</v>
      </c>
      <c r="B120" s="2" t="s">
        <v>648</v>
      </c>
      <c r="C120" s="2" t="s">
        <v>607</v>
      </c>
      <c r="D120" s="2" t="s">
        <v>556</v>
      </c>
      <c r="E120" s="50" t="s">
        <v>258</v>
      </c>
    </row>
    <row r="121" spans="1:5" x14ac:dyDescent="0.25">
      <c r="A121" s="4">
        <v>120</v>
      </c>
      <c r="B121" s="2" t="s">
        <v>649</v>
      </c>
      <c r="C121" s="2" t="s">
        <v>607</v>
      </c>
      <c r="D121" s="2" t="s">
        <v>556</v>
      </c>
      <c r="E121" s="50" t="s">
        <v>260</v>
      </c>
    </row>
    <row r="122" spans="1:5" x14ac:dyDescent="0.25">
      <c r="A122" s="4">
        <v>121</v>
      </c>
      <c r="B122" s="2" t="s">
        <v>650</v>
      </c>
      <c r="C122" s="2" t="s">
        <v>607</v>
      </c>
      <c r="D122" s="2" t="s">
        <v>556</v>
      </c>
      <c r="E122" s="50" t="s">
        <v>260</v>
      </c>
    </row>
    <row r="123" spans="1:5" x14ac:dyDescent="0.25">
      <c r="A123" s="4">
        <v>122</v>
      </c>
      <c r="B123" s="2" t="s">
        <v>651</v>
      </c>
      <c r="C123" s="2" t="s">
        <v>607</v>
      </c>
      <c r="D123" s="2" t="s">
        <v>556</v>
      </c>
      <c r="E123" s="50" t="s">
        <v>652</v>
      </c>
    </row>
    <row r="124" spans="1:5" x14ac:dyDescent="0.25">
      <c r="A124" s="4">
        <v>123</v>
      </c>
      <c r="B124" s="2" t="s">
        <v>653</v>
      </c>
      <c r="C124" s="2" t="s">
        <v>607</v>
      </c>
      <c r="D124" s="2" t="s">
        <v>556</v>
      </c>
      <c r="E124" s="50" t="s">
        <v>264</v>
      </c>
    </row>
    <row r="125" spans="1:5" x14ac:dyDescent="0.25">
      <c r="A125" s="4">
        <v>124</v>
      </c>
      <c r="B125" s="2" t="s">
        <v>654</v>
      </c>
      <c r="C125" s="2" t="s">
        <v>607</v>
      </c>
      <c r="D125" s="2" t="s">
        <v>556</v>
      </c>
      <c r="E125" s="50" t="s">
        <v>264</v>
      </c>
    </row>
    <row r="126" spans="1:5" x14ac:dyDescent="0.25">
      <c r="A126" s="4">
        <v>125</v>
      </c>
      <c r="B126" s="2" t="s">
        <v>655</v>
      </c>
      <c r="C126" s="2" t="s">
        <v>607</v>
      </c>
      <c r="D126" s="2" t="s">
        <v>556</v>
      </c>
      <c r="E126" s="50" t="s">
        <v>266</v>
      </c>
    </row>
    <row r="127" spans="1:5" x14ac:dyDescent="0.25">
      <c r="A127" s="4">
        <v>126</v>
      </c>
      <c r="B127" s="2" t="s">
        <v>656</v>
      </c>
      <c r="C127" s="2" t="s">
        <v>607</v>
      </c>
      <c r="D127" s="2" t="s">
        <v>556</v>
      </c>
      <c r="E127" s="50" t="s">
        <v>270</v>
      </c>
    </row>
    <row r="128" spans="1:5" x14ac:dyDescent="0.25">
      <c r="A128" s="4">
        <v>127</v>
      </c>
      <c r="B128" s="2" t="s">
        <v>657</v>
      </c>
      <c r="C128" s="2" t="s">
        <v>607</v>
      </c>
      <c r="D128" s="2" t="s">
        <v>556</v>
      </c>
      <c r="E128" s="50" t="s">
        <v>272</v>
      </c>
    </row>
    <row r="129" spans="1:5" x14ac:dyDescent="0.25">
      <c r="A129" s="4">
        <v>128</v>
      </c>
      <c r="B129" s="2" t="s">
        <v>532</v>
      </c>
      <c r="C129" s="2" t="s">
        <v>607</v>
      </c>
      <c r="D129" s="2" t="s">
        <v>556</v>
      </c>
      <c r="E129" s="50" t="s">
        <v>658</v>
      </c>
    </row>
    <row r="130" spans="1:5" x14ac:dyDescent="0.25">
      <c r="A130" s="4">
        <v>129</v>
      </c>
      <c r="B130" s="2" t="s">
        <v>659</v>
      </c>
      <c r="C130" s="2" t="s">
        <v>607</v>
      </c>
      <c r="D130" s="2" t="s">
        <v>556</v>
      </c>
      <c r="E130" s="50" t="s">
        <v>273</v>
      </c>
    </row>
    <row r="131" spans="1:5" x14ac:dyDescent="0.25">
      <c r="A131" s="4">
        <v>130</v>
      </c>
      <c r="B131" s="2" t="s">
        <v>660</v>
      </c>
      <c r="C131" s="2" t="s">
        <v>607</v>
      </c>
      <c r="D131" s="2" t="s">
        <v>556</v>
      </c>
      <c r="E131" s="50" t="s">
        <v>275</v>
      </c>
    </row>
    <row r="132" spans="1:5" x14ac:dyDescent="0.25">
      <c r="A132" s="4">
        <v>131</v>
      </c>
      <c r="B132" s="2" t="s">
        <v>661</v>
      </c>
      <c r="C132" s="2" t="s">
        <v>607</v>
      </c>
      <c r="D132" s="2" t="s">
        <v>556</v>
      </c>
      <c r="E132" s="50" t="s">
        <v>275</v>
      </c>
    </row>
    <row r="133" spans="1:5" x14ac:dyDescent="0.25">
      <c r="A133" s="4">
        <v>132</v>
      </c>
      <c r="B133" s="2" t="s">
        <v>662</v>
      </c>
      <c r="C133" s="2" t="s">
        <v>607</v>
      </c>
      <c r="D133" s="2" t="s">
        <v>556</v>
      </c>
    </row>
    <row r="134" spans="1:5" x14ac:dyDescent="0.25">
      <c r="A134" s="4">
        <v>133</v>
      </c>
      <c r="B134" s="2" t="s">
        <v>663</v>
      </c>
      <c r="C134" s="2" t="s">
        <v>607</v>
      </c>
      <c r="D134" s="2" t="s">
        <v>556</v>
      </c>
    </row>
    <row r="135" spans="1:5" x14ac:dyDescent="0.25">
      <c r="A135" s="4">
        <v>134</v>
      </c>
      <c r="B135" s="2" t="s">
        <v>664</v>
      </c>
      <c r="C135" s="2" t="s">
        <v>607</v>
      </c>
      <c r="D135" s="2" t="s">
        <v>556</v>
      </c>
    </row>
    <row r="136" spans="1:5" x14ac:dyDescent="0.25">
      <c r="A136" s="4">
        <v>135</v>
      </c>
      <c r="B136" s="2" t="s">
        <v>546</v>
      </c>
      <c r="C136" s="2" t="s">
        <v>607</v>
      </c>
      <c r="D136" s="2" t="s">
        <v>556</v>
      </c>
      <c r="E136" s="50" t="s">
        <v>282</v>
      </c>
    </row>
    <row r="137" spans="1:5" x14ac:dyDescent="0.25">
      <c r="A137" s="4">
        <v>136</v>
      </c>
      <c r="B137" s="2" t="s">
        <v>665</v>
      </c>
      <c r="C137" s="2" t="s">
        <v>607</v>
      </c>
      <c r="D137" s="2" t="s">
        <v>556</v>
      </c>
      <c r="E137" s="50" t="s">
        <v>284</v>
      </c>
    </row>
    <row r="138" spans="1:5" x14ac:dyDescent="0.25">
      <c r="A138" s="4">
        <v>137</v>
      </c>
      <c r="B138" s="2" t="s">
        <v>666</v>
      </c>
      <c r="C138" s="2" t="s">
        <v>607</v>
      </c>
      <c r="D138" s="2" t="s">
        <v>556</v>
      </c>
      <c r="E138" s="50" t="s">
        <v>285</v>
      </c>
    </row>
    <row r="139" spans="1:5" x14ac:dyDescent="0.25">
      <c r="A139" s="4">
        <v>138</v>
      </c>
      <c r="B139" s="2" t="s">
        <v>667</v>
      </c>
      <c r="C139" s="2" t="s">
        <v>607</v>
      </c>
      <c r="D139" s="2" t="s">
        <v>556</v>
      </c>
      <c r="E139" s="50" t="s">
        <v>285</v>
      </c>
    </row>
    <row r="140" spans="1:5" x14ac:dyDescent="0.25">
      <c r="A140" s="4">
        <v>139</v>
      </c>
      <c r="B140" s="2" t="s">
        <v>668</v>
      </c>
      <c r="C140" s="2" t="s">
        <v>607</v>
      </c>
      <c r="D140" s="2" t="s">
        <v>556</v>
      </c>
      <c r="E140" s="50" t="s">
        <v>286</v>
      </c>
    </row>
    <row r="141" spans="1:5" x14ac:dyDescent="0.25">
      <c r="A141" s="4">
        <v>140</v>
      </c>
      <c r="B141" s="2" t="s">
        <v>669</v>
      </c>
      <c r="C141" s="2" t="s">
        <v>607</v>
      </c>
      <c r="D141" s="2" t="s">
        <v>556</v>
      </c>
      <c r="E141" s="50" t="s">
        <v>289</v>
      </c>
    </row>
    <row r="142" spans="1:5" x14ac:dyDescent="0.25">
      <c r="A142" s="4">
        <v>141</v>
      </c>
      <c r="B142" s="2" t="s">
        <v>670</v>
      </c>
      <c r="C142" s="2" t="s">
        <v>607</v>
      </c>
      <c r="D142" s="2" t="s">
        <v>556</v>
      </c>
      <c r="E142" s="50" t="s">
        <v>289</v>
      </c>
    </row>
    <row r="143" spans="1:5" x14ac:dyDescent="0.25">
      <c r="A143" s="4">
        <v>142</v>
      </c>
      <c r="B143" s="2" t="s">
        <v>671</v>
      </c>
      <c r="C143" s="2" t="s">
        <v>607</v>
      </c>
      <c r="D143" s="2" t="s">
        <v>556</v>
      </c>
      <c r="E143" s="50" t="s">
        <v>672</v>
      </c>
    </row>
    <row r="144" spans="1:5" x14ac:dyDescent="0.25">
      <c r="A144" s="4">
        <v>143</v>
      </c>
      <c r="B144" s="2" t="s">
        <v>673</v>
      </c>
      <c r="C144" s="2" t="s">
        <v>607</v>
      </c>
      <c r="D144" s="2" t="s">
        <v>556</v>
      </c>
      <c r="E144" s="50" t="s">
        <v>299</v>
      </c>
    </row>
  </sheetData>
  <phoneticPr fontId="14" type="noConversion"/>
  <conditionalFormatting sqref="D1:D1048576">
    <cfRule type="cellIs" dxfId="9" priority="1" operator="equal">
      <formula>"Additional"</formula>
    </cfRule>
    <cfRule type="cellIs" dxfId="8" priority="2" operator="equal">
      <formula>"Mandatory"</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357B1-B8DB-0F4E-969B-CFC5D0DB577B}">
  <dimension ref="A1:J16"/>
  <sheetViews>
    <sheetView showGridLines="0" zoomScale="114" zoomScaleNormal="100" workbookViewId="0">
      <selection activeCell="J32" sqref="J32"/>
    </sheetView>
  </sheetViews>
  <sheetFormatPr baseColWidth="10" defaultColWidth="10.875" defaultRowHeight="15.75" x14ac:dyDescent="0.25"/>
  <cols>
    <col min="1" max="1" width="2" style="2" customWidth="1"/>
    <col min="2" max="2" width="22.875" style="2" customWidth="1"/>
    <col min="3" max="3" width="9.375" style="2" bestFit="1" customWidth="1"/>
    <col min="4" max="16384" width="10.875" style="2"/>
  </cols>
  <sheetData>
    <row r="1" spans="1:10" ht="12.95" customHeight="1" x14ac:dyDescent="0.25">
      <c r="A1" s="16"/>
      <c r="B1" s="16"/>
      <c r="C1" s="16"/>
      <c r="D1" s="16"/>
      <c r="E1" s="16"/>
      <c r="F1" s="16"/>
      <c r="G1" s="16"/>
      <c r="H1" s="16"/>
      <c r="I1" s="16"/>
      <c r="J1" s="16"/>
    </row>
    <row r="2" spans="1:10" ht="20.100000000000001" customHeight="1" x14ac:dyDescent="0.25">
      <c r="A2" s="16"/>
      <c r="B2" s="56" t="s">
        <v>695</v>
      </c>
      <c r="C2" s="16"/>
      <c r="D2" s="16"/>
      <c r="E2" s="16"/>
      <c r="F2" s="16"/>
      <c r="G2" s="16"/>
      <c r="H2" s="16"/>
      <c r="I2" s="16"/>
      <c r="J2" s="16"/>
    </row>
    <row r="3" spans="1:10" ht="8.1" customHeight="1" x14ac:dyDescent="0.25">
      <c r="A3" s="16"/>
      <c r="B3" s="16"/>
      <c r="C3" s="16"/>
      <c r="D3" s="16"/>
      <c r="E3" s="16"/>
      <c r="F3" s="16"/>
      <c r="G3" s="16"/>
      <c r="H3" s="16"/>
      <c r="I3" s="16"/>
      <c r="J3" s="16"/>
    </row>
    <row r="5" spans="1:10" x14ac:dyDescent="0.25">
      <c r="B5" s="13" t="s">
        <v>696</v>
      </c>
      <c r="C5" s="65" t="s">
        <v>700</v>
      </c>
      <c r="D5" s="65"/>
      <c r="E5" s="65"/>
      <c r="F5" s="7"/>
      <c r="G5" s="7"/>
    </row>
    <row r="6" spans="1:10" ht="9.9499999999999993" customHeight="1" x14ac:dyDescent="0.25">
      <c r="B6" s="11"/>
      <c r="C6" s="11"/>
      <c r="D6" s="11"/>
      <c r="E6" s="11"/>
      <c r="F6" s="7"/>
      <c r="G6" s="7"/>
    </row>
    <row r="7" spans="1:10" x14ac:dyDescent="0.25">
      <c r="B7" s="13" t="s">
        <v>697</v>
      </c>
      <c r="C7" s="65"/>
      <c r="D7" s="65"/>
      <c r="E7" s="11"/>
      <c r="F7" s="7"/>
      <c r="G7" s="7"/>
    </row>
    <row r="8" spans="1:10" ht="9.9499999999999993" customHeight="1" x14ac:dyDescent="0.25">
      <c r="B8" s="11"/>
      <c r="C8" s="11"/>
      <c r="D8" s="11"/>
      <c r="E8" s="11"/>
      <c r="F8" s="7"/>
      <c r="G8" s="7"/>
    </row>
    <row r="9" spans="1:10" x14ac:dyDescent="0.25">
      <c r="B9" s="13" t="s">
        <v>698</v>
      </c>
      <c r="C9" s="66">
        <v>45809</v>
      </c>
      <c r="D9" s="66"/>
      <c r="E9" s="12"/>
      <c r="F9" s="7"/>
      <c r="G9" s="7"/>
    </row>
    <row r="10" spans="1:10" ht="9.9499999999999993" customHeight="1" x14ac:dyDescent="0.25">
      <c r="B10" s="11"/>
      <c r="C10" s="11"/>
      <c r="D10" s="11"/>
      <c r="E10" s="11"/>
      <c r="F10" s="7"/>
      <c r="G10" s="7"/>
    </row>
    <row r="11" spans="1:10" x14ac:dyDescent="0.25">
      <c r="B11" s="13" t="s">
        <v>699</v>
      </c>
      <c r="C11" s="67">
        <f>'Diagrama de Gantt'!I162</f>
        <v>46489</v>
      </c>
      <c r="D11" s="67"/>
      <c r="E11" s="11"/>
      <c r="F11" s="7"/>
      <c r="G11" s="7"/>
    </row>
    <row r="12" spans="1:10" x14ac:dyDescent="0.25">
      <c r="B12" s="7"/>
      <c r="C12" s="7"/>
      <c r="D12" s="7"/>
      <c r="E12" s="7"/>
      <c r="F12" s="7"/>
      <c r="G12" s="7"/>
    </row>
    <row r="13" spans="1:10" x14ac:dyDescent="0.25">
      <c r="B13" s="7"/>
      <c r="C13" s="7"/>
      <c r="D13" s="7"/>
      <c r="E13" s="7"/>
      <c r="F13" s="7"/>
      <c r="G13" s="7"/>
    </row>
    <row r="14" spans="1:10" x14ac:dyDescent="0.25">
      <c r="B14" s="7"/>
      <c r="C14" s="7"/>
      <c r="D14" s="7"/>
      <c r="E14" s="7"/>
      <c r="F14" s="7"/>
      <c r="G14" s="7"/>
    </row>
    <row r="15" spans="1:10" x14ac:dyDescent="0.25">
      <c r="B15" s="7"/>
      <c r="C15" s="7"/>
      <c r="D15" s="7"/>
      <c r="E15" s="7"/>
      <c r="F15" s="7"/>
      <c r="G15" s="7"/>
    </row>
    <row r="16" spans="1:10" x14ac:dyDescent="0.25">
      <c r="B16" s="7"/>
      <c r="C16" s="7"/>
      <c r="D16" s="7"/>
      <c r="E16" s="7"/>
      <c r="F16" s="7"/>
      <c r="G16" s="7"/>
    </row>
  </sheetData>
  <mergeCells count="4">
    <mergeCell ref="C5:E5"/>
    <mergeCell ref="C9:D9"/>
    <mergeCell ref="C11:D11"/>
    <mergeCell ref="C7:D7"/>
  </mergeCells>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9AEB-7457-854E-93CA-1FA14978E8B7}">
  <sheetPr>
    <tabColor rgb="FF2FF532"/>
    <pageSetUpPr fitToPage="1"/>
  </sheetPr>
  <dimension ref="A1:BP163"/>
  <sheetViews>
    <sheetView showGridLines="0" zoomScale="110" zoomScaleNormal="110" workbookViewId="0">
      <pane ySplit="8" topLeftCell="A9" activePane="bottomLeft" state="frozen"/>
      <selection pane="bottomLeft" activeCell="L9" sqref="L9"/>
    </sheetView>
  </sheetViews>
  <sheetFormatPr baseColWidth="10" defaultColWidth="10.875" defaultRowHeight="15.75" outlineLevelRow="2" x14ac:dyDescent="0.25"/>
  <cols>
    <col min="1" max="1" width="4.5" style="2" customWidth="1"/>
    <col min="2" max="2" width="6" style="4" bestFit="1" customWidth="1"/>
    <col min="3" max="3" width="5.125" style="4" customWidth="1"/>
    <col min="4" max="4" width="58.875" style="2" customWidth="1"/>
    <col min="5" max="5" width="1.625" style="2" customWidth="1"/>
    <col min="6" max="6" width="8.5" style="2" bestFit="1" customWidth="1"/>
    <col min="7" max="7" width="8.875" style="4" bestFit="1" customWidth="1"/>
    <col min="8" max="10" width="11" style="4" bestFit="1" customWidth="1"/>
    <col min="11" max="11" width="13.625" style="4" customWidth="1"/>
    <col min="12" max="12" width="55.125" style="2" customWidth="1"/>
    <col min="13" max="46" width="2.625" style="2" customWidth="1"/>
    <col min="47" max="68" width="2.875" style="2" customWidth="1"/>
    <col min="69" max="16384" width="10.875" style="2"/>
  </cols>
  <sheetData>
    <row r="1" spans="1:68" x14ac:dyDescent="0.25">
      <c r="A1" s="16"/>
      <c r="B1" s="17"/>
      <c r="C1" s="17"/>
      <c r="D1" s="16"/>
      <c r="E1" s="16"/>
      <c r="F1" s="16"/>
      <c r="G1" s="17"/>
      <c r="H1" s="17"/>
      <c r="I1" s="17"/>
      <c r="J1" s="17"/>
      <c r="K1" s="17"/>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row>
    <row r="2" spans="1:68" ht="26.25" x14ac:dyDescent="0.25">
      <c r="A2" s="16"/>
      <c r="B2" s="68" t="str">
        <f>'Información sobre el proyecto'!C5</f>
        <v>Proyecto de implantación de ISO/IEC 27001</v>
      </c>
      <c r="C2" s="68"/>
      <c r="D2" s="68"/>
      <c r="E2" s="18"/>
      <c r="F2" s="18"/>
      <c r="G2" s="17"/>
      <c r="H2" s="17"/>
      <c r="I2" s="17"/>
      <c r="J2" s="17"/>
      <c r="K2" s="17"/>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row>
    <row r="3" spans="1:68" ht="11.1" customHeight="1" x14ac:dyDescent="0.25">
      <c r="A3" s="16"/>
      <c r="B3" s="17"/>
      <c r="C3" s="17"/>
      <c r="D3" s="16"/>
      <c r="E3" s="16"/>
      <c r="F3" s="16"/>
      <c r="G3" s="17"/>
      <c r="H3" s="17"/>
      <c r="I3" s="17"/>
      <c r="J3" s="17"/>
      <c r="K3" s="17"/>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row>
    <row r="5" spans="1:68" ht="18" customHeight="1" x14ac:dyDescent="0.25">
      <c r="B5" s="62"/>
      <c r="C5" s="45" t="s">
        <v>685</v>
      </c>
    </row>
    <row r="6" spans="1:68" ht="18" customHeight="1" x14ac:dyDescent="0.25">
      <c r="B6" s="59"/>
      <c r="C6" s="45" t="s">
        <v>686</v>
      </c>
      <c r="M6" s="71">
        <f>WEEKNUM(M7,21)</f>
        <v>22</v>
      </c>
      <c r="N6" s="72"/>
      <c r="O6" s="72"/>
      <c r="P6" s="72"/>
      <c r="Q6" s="72"/>
      <c r="R6" s="72"/>
      <c r="S6" s="73"/>
      <c r="T6" s="74">
        <f t="shared" ref="T6" si="0">WEEKNUM(T7,21)</f>
        <v>23</v>
      </c>
      <c r="U6" s="69"/>
      <c r="V6" s="69"/>
      <c r="W6" s="69"/>
      <c r="X6" s="69"/>
      <c r="Y6" s="69"/>
      <c r="Z6" s="69"/>
      <c r="AA6" s="69">
        <f t="shared" ref="AA6" si="1">WEEKNUM(AA7,21)</f>
        <v>24</v>
      </c>
      <c r="AB6" s="69"/>
      <c r="AC6" s="69"/>
      <c r="AD6" s="69"/>
      <c r="AE6" s="69"/>
      <c r="AF6" s="69"/>
      <c r="AG6" s="69"/>
      <c r="AH6" s="69">
        <f>WEEKNUM(AH7,21)</f>
        <v>25</v>
      </c>
      <c r="AI6" s="69"/>
      <c r="AJ6" s="69"/>
      <c r="AK6" s="69"/>
      <c r="AL6" s="69"/>
      <c r="AM6" s="69"/>
      <c r="AN6" s="69"/>
      <c r="AO6" s="69">
        <f>WEEKNUM(AO7,21)</f>
        <v>26</v>
      </c>
      <c r="AP6" s="69"/>
      <c r="AQ6" s="69"/>
      <c r="AR6" s="69"/>
      <c r="AS6" s="69"/>
      <c r="AT6" s="69"/>
      <c r="AU6" s="69"/>
      <c r="AV6" s="69">
        <f>WEEKNUM(AV7,21)</f>
        <v>27</v>
      </c>
      <c r="AW6" s="69"/>
      <c r="AX6" s="69"/>
      <c r="AY6" s="69"/>
      <c r="AZ6" s="69"/>
      <c r="BA6" s="69"/>
      <c r="BB6" s="69"/>
      <c r="BC6" s="69">
        <f>WEEKNUM(BC7,21)</f>
        <v>28</v>
      </c>
      <c r="BD6" s="69"/>
      <c r="BE6" s="69"/>
      <c r="BF6" s="69"/>
      <c r="BG6" s="69"/>
      <c r="BH6" s="69"/>
      <c r="BI6" s="69"/>
      <c r="BJ6" s="69">
        <f t="shared" ref="BJ6" si="2">WEEKNUM(BJ7,21)</f>
        <v>29</v>
      </c>
      <c r="BK6" s="69"/>
      <c r="BL6" s="69"/>
      <c r="BM6" s="69"/>
      <c r="BN6" s="69"/>
      <c r="BO6" s="69"/>
      <c r="BP6" s="70"/>
    </row>
    <row r="7" spans="1:68" ht="54" customHeight="1" x14ac:dyDescent="0.25">
      <c r="L7" s="10">
        <v>0</v>
      </c>
      <c r="M7" s="8">
        <f>'Información sobre el proyecto'!C9-WEEKDAY('Información sobre el proyecto'!C9,2)+1+L7*7</f>
        <v>45803</v>
      </c>
      <c r="N7" s="5">
        <f>M7+1</f>
        <v>45804</v>
      </c>
      <c r="O7" s="5">
        <f t="shared" ref="O7:BP7" si="3">N7+1</f>
        <v>45805</v>
      </c>
      <c r="P7" s="5">
        <f t="shared" si="3"/>
        <v>45806</v>
      </c>
      <c r="Q7" s="5">
        <f t="shared" si="3"/>
        <v>45807</v>
      </c>
      <c r="R7" s="23">
        <f t="shared" si="3"/>
        <v>45808</v>
      </c>
      <c r="S7" s="24">
        <f t="shared" si="3"/>
        <v>45809</v>
      </c>
      <c r="T7" s="5">
        <f t="shared" si="3"/>
        <v>45810</v>
      </c>
      <c r="U7" s="5">
        <f t="shared" si="3"/>
        <v>45811</v>
      </c>
      <c r="V7" s="5">
        <f t="shared" si="3"/>
        <v>45812</v>
      </c>
      <c r="W7" s="5">
        <f t="shared" si="3"/>
        <v>45813</v>
      </c>
      <c r="X7" s="5">
        <f t="shared" si="3"/>
        <v>45814</v>
      </c>
      <c r="Y7" s="23">
        <f>X7+1</f>
        <v>45815</v>
      </c>
      <c r="Z7" s="24">
        <f t="shared" si="3"/>
        <v>45816</v>
      </c>
      <c r="AA7" s="5">
        <f t="shared" si="3"/>
        <v>45817</v>
      </c>
      <c r="AB7" s="5">
        <f t="shared" si="3"/>
        <v>45818</v>
      </c>
      <c r="AC7" s="5">
        <f t="shared" si="3"/>
        <v>45819</v>
      </c>
      <c r="AD7" s="5">
        <f t="shared" si="3"/>
        <v>45820</v>
      </c>
      <c r="AE7" s="5">
        <f t="shared" si="3"/>
        <v>45821</v>
      </c>
      <c r="AF7" s="23">
        <f t="shared" si="3"/>
        <v>45822</v>
      </c>
      <c r="AG7" s="24">
        <f t="shared" si="3"/>
        <v>45823</v>
      </c>
      <c r="AH7" s="5">
        <f>AG7+1</f>
        <v>45824</v>
      </c>
      <c r="AI7" s="5">
        <f t="shared" si="3"/>
        <v>45825</v>
      </c>
      <c r="AJ7" s="5">
        <f t="shared" si="3"/>
        <v>45826</v>
      </c>
      <c r="AK7" s="5">
        <f t="shared" si="3"/>
        <v>45827</v>
      </c>
      <c r="AL7" s="5">
        <f t="shared" si="3"/>
        <v>45828</v>
      </c>
      <c r="AM7" s="23">
        <f t="shared" si="3"/>
        <v>45829</v>
      </c>
      <c r="AN7" s="24">
        <f t="shared" si="3"/>
        <v>45830</v>
      </c>
      <c r="AO7" s="5">
        <f t="shared" si="3"/>
        <v>45831</v>
      </c>
      <c r="AP7" s="5">
        <f t="shared" si="3"/>
        <v>45832</v>
      </c>
      <c r="AQ7" s="5">
        <f t="shared" si="3"/>
        <v>45833</v>
      </c>
      <c r="AR7" s="5">
        <f t="shared" si="3"/>
        <v>45834</v>
      </c>
      <c r="AS7" s="5">
        <f>AR7+1</f>
        <v>45835</v>
      </c>
      <c r="AT7" s="23">
        <f t="shared" si="3"/>
        <v>45836</v>
      </c>
      <c r="AU7" s="24">
        <f t="shared" si="3"/>
        <v>45837</v>
      </c>
      <c r="AV7" s="5">
        <f t="shared" si="3"/>
        <v>45838</v>
      </c>
      <c r="AW7" s="5">
        <f t="shared" si="3"/>
        <v>45839</v>
      </c>
      <c r="AX7" s="5">
        <f t="shared" si="3"/>
        <v>45840</v>
      </c>
      <c r="AY7" s="5">
        <f t="shared" si="3"/>
        <v>45841</v>
      </c>
      <c r="AZ7" s="5">
        <f t="shared" si="3"/>
        <v>45842</v>
      </c>
      <c r="BA7" s="23">
        <f t="shared" si="3"/>
        <v>45843</v>
      </c>
      <c r="BB7" s="24">
        <f t="shared" si="3"/>
        <v>45844</v>
      </c>
      <c r="BC7" s="5">
        <f t="shared" si="3"/>
        <v>45845</v>
      </c>
      <c r="BD7" s="5">
        <f t="shared" si="3"/>
        <v>45846</v>
      </c>
      <c r="BE7" s="5">
        <f t="shared" si="3"/>
        <v>45847</v>
      </c>
      <c r="BF7" s="5">
        <f t="shared" si="3"/>
        <v>45848</v>
      </c>
      <c r="BG7" s="5">
        <f t="shared" si="3"/>
        <v>45849</v>
      </c>
      <c r="BH7" s="23">
        <f t="shared" si="3"/>
        <v>45850</v>
      </c>
      <c r="BI7" s="24">
        <f t="shared" si="3"/>
        <v>45851</v>
      </c>
      <c r="BJ7" s="5">
        <f t="shared" si="3"/>
        <v>45852</v>
      </c>
      <c r="BK7" s="5">
        <f t="shared" si="3"/>
        <v>45853</v>
      </c>
      <c r="BL7" s="5">
        <f t="shared" si="3"/>
        <v>45854</v>
      </c>
      <c r="BM7" s="5">
        <f t="shared" si="3"/>
        <v>45855</v>
      </c>
      <c r="BN7" s="5">
        <f t="shared" si="3"/>
        <v>45856</v>
      </c>
      <c r="BO7" s="23">
        <f t="shared" si="3"/>
        <v>45857</v>
      </c>
      <c r="BP7" s="24">
        <f t="shared" si="3"/>
        <v>45858</v>
      </c>
    </row>
    <row r="8" spans="1:68" ht="39" customHeight="1" x14ac:dyDescent="0.25">
      <c r="B8" s="59" t="s">
        <v>4</v>
      </c>
      <c r="C8" s="62" t="s">
        <v>687</v>
      </c>
      <c r="D8" s="62" t="s">
        <v>688</v>
      </c>
      <c r="E8" s="64"/>
      <c r="F8" s="63" t="s">
        <v>689</v>
      </c>
      <c r="G8" s="62" t="s">
        <v>690</v>
      </c>
      <c r="H8" s="60" t="s">
        <v>691</v>
      </c>
      <c r="I8" s="60" t="s">
        <v>692</v>
      </c>
      <c r="J8" s="63" t="s">
        <v>86</v>
      </c>
      <c r="K8" s="60" t="s">
        <v>693</v>
      </c>
      <c r="L8" s="61" t="s">
        <v>694</v>
      </c>
      <c r="M8" s="19" t="str">
        <f t="shared" ref="M8:AR8" si="4">LEFT(TEXT(M7,"TTT"),1)</f>
        <v>M</v>
      </c>
      <c r="N8" s="20" t="str">
        <f t="shared" si="4"/>
        <v>T</v>
      </c>
      <c r="O8" s="20" t="str">
        <f t="shared" si="4"/>
        <v>W</v>
      </c>
      <c r="P8" s="20" t="str">
        <f t="shared" si="4"/>
        <v>T</v>
      </c>
      <c r="Q8" s="20" t="str">
        <f t="shared" si="4"/>
        <v>F</v>
      </c>
      <c r="R8" s="21" t="str">
        <f t="shared" si="4"/>
        <v>S</v>
      </c>
      <c r="S8" s="22" t="str">
        <f t="shared" si="4"/>
        <v>S</v>
      </c>
      <c r="T8" s="20" t="str">
        <f t="shared" si="4"/>
        <v>M</v>
      </c>
      <c r="U8" s="20" t="str">
        <f t="shared" si="4"/>
        <v>T</v>
      </c>
      <c r="V8" s="20" t="str">
        <f t="shared" si="4"/>
        <v>W</v>
      </c>
      <c r="W8" s="20" t="str">
        <f t="shared" si="4"/>
        <v>T</v>
      </c>
      <c r="X8" s="20" t="str">
        <f t="shared" si="4"/>
        <v>F</v>
      </c>
      <c r="Y8" s="21" t="str">
        <f t="shared" si="4"/>
        <v>S</v>
      </c>
      <c r="Z8" s="22" t="str">
        <f t="shared" si="4"/>
        <v>S</v>
      </c>
      <c r="AA8" s="20" t="str">
        <f t="shared" si="4"/>
        <v>M</v>
      </c>
      <c r="AB8" s="20" t="str">
        <f t="shared" si="4"/>
        <v>T</v>
      </c>
      <c r="AC8" s="20" t="str">
        <f t="shared" si="4"/>
        <v>W</v>
      </c>
      <c r="AD8" s="20" t="str">
        <f t="shared" si="4"/>
        <v>T</v>
      </c>
      <c r="AE8" s="20" t="str">
        <f t="shared" si="4"/>
        <v>F</v>
      </c>
      <c r="AF8" s="21" t="str">
        <f t="shared" si="4"/>
        <v>S</v>
      </c>
      <c r="AG8" s="22" t="str">
        <f t="shared" si="4"/>
        <v>S</v>
      </c>
      <c r="AH8" s="20" t="str">
        <f t="shared" si="4"/>
        <v>M</v>
      </c>
      <c r="AI8" s="20" t="str">
        <f t="shared" si="4"/>
        <v>T</v>
      </c>
      <c r="AJ8" s="20" t="str">
        <f t="shared" si="4"/>
        <v>W</v>
      </c>
      <c r="AK8" s="20" t="str">
        <f t="shared" si="4"/>
        <v>T</v>
      </c>
      <c r="AL8" s="20" t="str">
        <f t="shared" si="4"/>
        <v>F</v>
      </c>
      <c r="AM8" s="21" t="str">
        <f t="shared" si="4"/>
        <v>S</v>
      </c>
      <c r="AN8" s="22" t="str">
        <f t="shared" si="4"/>
        <v>S</v>
      </c>
      <c r="AO8" s="20" t="str">
        <f t="shared" si="4"/>
        <v>M</v>
      </c>
      <c r="AP8" s="20" t="str">
        <f t="shared" si="4"/>
        <v>T</v>
      </c>
      <c r="AQ8" s="20" t="str">
        <f t="shared" si="4"/>
        <v>W</v>
      </c>
      <c r="AR8" s="20" t="str">
        <f t="shared" si="4"/>
        <v>T</v>
      </c>
      <c r="AS8" s="20" t="str">
        <f t="shared" ref="AS8:BP8" si="5">LEFT(TEXT(AS7,"TTT"),1)</f>
        <v>F</v>
      </c>
      <c r="AT8" s="21" t="str">
        <f t="shared" si="5"/>
        <v>S</v>
      </c>
      <c r="AU8" s="22" t="str">
        <f t="shared" si="5"/>
        <v>S</v>
      </c>
      <c r="AV8" s="20" t="str">
        <f t="shared" si="5"/>
        <v>M</v>
      </c>
      <c r="AW8" s="20" t="str">
        <f t="shared" si="5"/>
        <v>T</v>
      </c>
      <c r="AX8" s="20" t="str">
        <f t="shared" si="5"/>
        <v>W</v>
      </c>
      <c r="AY8" s="20" t="str">
        <f t="shared" si="5"/>
        <v>T</v>
      </c>
      <c r="AZ8" s="20" t="str">
        <f t="shared" si="5"/>
        <v>F</v>
      </c>
      <c r="BA8" s="21" t="str">
        <f t="shared" si="5"/>
        <v>S</v>
      </c>
      <c r="BB8" s="22" t="str">
        <f t="shared" si="5"/>
        <v>S</v>
      </c>
      <c r="BC8" s="20" t="str">
        <f t="shared" si="5"/>
        <v>M</v>
      </c>
      <c r="BD8" s="20" t="str">
        <f t="shared" si="5"/>
        <v>T</v>
      </c>
      <c r="BE8" s="20" t="str">
        <f t="shared" si="5"/>
        <v>W</v>
      </c>
      <c r="BF8" s="20" t="str">
        <f t="shared" si="5"/>
        <v>T</v>
      </c>
      <c r="BG8" s="20" t="str">
        <f t="shared" si="5"/>
        <v>F</v>
      </c>
      <c r="BH8" s="21" t="str">
        <f t="shared" si="5"/>
        <v>S</v>
      </c>
      <c r="BI8" s="22" t="str">
        <f t="shared" si="5"/>
        <v>S</v>
      </c>
      <c r="BJ8" s="20" t="str">
        <f t="shared" si="5"/>
        <v>M</v>
      </c>
      <c r="BK8" s="20" t="str">
        <f t="shared" si="5"/>
        <v>T</v>
      </c>
      <c r="BL8" s="20" t="str">
        <f t="shared" si="5"/>
        <v>W</v>
      </c>
      <c r="BM8" s="20" t="str">
        <f t="shared" si="5"/>
        <v>T</v>
      </c>
      <c r="BN8" s="20" t="str">
        <f t="shared" si="5"/>
        <v>F</v>
      </c>
      <c r="BO8" s="21" t="str">
        <f t="shared" si="5"/>
        <v>S</v>
      </c>
      <c r="BP8" s="22" t="str">
        <f t="shared" si="5"/>
        <v>S</v>
      </c>
    </row>
    <row r="9" spans="1:68" ht="8.1" customHeight="1" x14ac:dyDescent="0.25">
      <c r="B9" s="25"/>
      <c r="C9" s="3"/>
      <c r="D9" s="1"/>
      <c r="E9" s="1"/>
      <c r="F9" s="38"/>
      <c r="G9" s="3"/>
      <c r="H9" s="3"/>
      <c r="I9" s="3"/>
      <c r="J9" s="42"/>
      <c r="K9" s="3"/>
      <c r="L9" s="1"/>
      <c r="M9" s="9"/>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row>
    <row r="10" spans="1:68" x14ac:dyDescent="0.25">
      <c r="B10" s="26">
        <v>1</v>
      </c>
      <c r="C10" s="27" t="s">
        <v>1</v>
      </c>
      <c r="D10" s="28" t="s">
        <v>80</v>
      </c>
      <c r="E10" s="28"/>
      <c r="F10" s="39"/>
      <c r="G10" s="27">
        <f>SUM(G11:G20)</f>
        <v>31</v>
      </c>
      <c r="H10" s="29">
        <f>'Información sobre el proyecto'!C9</f>
        <v>45809</v>
      </c>
      <c r="I10" s="29" cm="1">
        <f t="array" ref="I10">IF(G10&lt;&gt;"",WORKDAY(Start,Duration-1),IF(Type="M",WORKDAY(Start,Duration-1),""))</f>
        <v>45849</v>
      </c>
      <c r="J10" s="43" cm="1">
        <f t="array" ref="J10">SUM(J11:J20*G11:G20)/SUM(G11:G20)</f>
        <v>0.46774193548387094</v>
      </c>
      <c r="K10" s="46"/>
      <c r="L10" s="30"/>
      <c r="M10" s="31" t="str">
        <f t="shared" ref="M10:AB34" si="6">IF(AND(Type="M",Start=Date),"◆","")</f>
        <v/>
      </c>
      <c r="N10" s="30" t="str">
        <f t="shared" si="6"/>
        <v/>
      </c>
      <c r="O10" s="30" t="str">
        <f t="shared" si="6"/>
        <v/>
      </c>
      <c r="P10" s="30" t="str">
        <f t="shared" si="6"/>
        <v/>
      </c>
      <c r="Q10" s="30" t="str">
        <f t="shared" si="6"/>
        <v/>
      </c>
      <c r="R10" s="30" t="str">
        <f t="shared" si="6"/>
        <v/>
      </c>
      <c r="S10" s="30" t="str">
        <f t="shared" si="6"/>
        <v/>
      </c>
      <c r="T10" s="30" t="str">
        <f t="shared" si="6"/>
        <v/>
      </c>
      <c r="U10" s="30" t="str">
        <f t="shared" si="6"/>
        <v/>
      </c>
      <c r="V10" s="30" t="str">
        <f t="shared" si="6"/>
        <v/>
      </c>
      <c r="W10" s="30" t="str">
        <f t="shared" ref="W10:AL34" si="7">IF(AND(Type="M",Start=Date),"◆","")</f>
        <v/>
      </c>
      <c r="X10" s="30" t="str">
        <f t="shared" si="7"/>
        <v/>
      </c>
      <c r="Y10" s="30" t="str">
        <f t="shared" si="7"/>
        <v/>
      </c>
      <c r="Z10" s="30" t="str">
        <f t="shared" si="7"/>
        <v/>
      </c>
      <c r="AA10" s="30" t="str">
        <f t="shared" si="7"/>
        <v/>
      </c>
      <c r="AB10" s="30" t="str">
        <f t="shared" si="7"/>
        <v/>
      </c>
      <c r="AC10" s="30" t="str">
        <f t="shared" si="7"/>
        <v/>
      </c>
      <c r="AD10" s="30" t="str">
        <f t="shared" si="7"/>
        <v/>
      </c>
      <c r="AE10" s="30" t="str">
        <f t="shared" si="7"/>
        <v/>
      </c>
      <c r="AF10" s="30" t="str">
        <f t="shared" si="7"/>
        <v/>
      </c>
      <c r="AG10" s="30" t="str">
        <f t="shared" ref="AG10:AV34" si="8">IF(AND(Type="M",Start=Date),"◆","")</f>
        <v/>
      </c>
      <c r="AH10" s="30" t="str">
        <f t="shared" si="8"/>
        <v/>
      </c>
      <c r="AI10" s="30" t="str">
        <f t="shared" si="8"/>
        <v/>
      </c>
      <c r="AJ10" s="30" t="str">
        <f t="shared" si="8"/>
        <v/>
      </c>
      <c r="AK10" s="30" t="str">
        <f t="shared" si="8"/>
        <v/>
      </c>
      <c r="AL10" s="30" t="str">
        <f t="shared" si="8"/>
        <v/>
      </c>
      <c r="AM10" s="30" t="str">
        <f t="shared" si="8"/>
        <v/>
      </c>
      <c r="AN10" s="30" t="str">
        <f t="shared" si="8"/>
        <v/>
      </c>
      <c r="AO10" s="30" t="str">
        <f t="shared" si="8"/>
        <v/>
      </c>
      <c r="AP10" s="30" t="str">
        <f t="shared" si="8"/>
        <v/>
      </c>
      <c r="AQ10" s="30" t="str">
        <f t="shared" ref="AQ10:BF34" si="9">IF(AND(Type="M",Start=Date),"◆","")</f>
        <v/>
      </c>
      <c r="AR10" s="30" t="str">
        <f t="shared" si="9"/>
        <v/>
      </c>
      <c r="AS10" s="30" t="str">
        <f t="shared" si="9"/>
        <v/>
      </c>
      <c r="AT10" s="30" t="str">
        <f t="shared" si="9"/>
        <v/>
      </c>
      <c r="AU10" s="30" t="str">
        <f t="shared" si="9"/>
        <v/>
      </c>
      <c r="AV10" s="30" t="str">
        <f t="shared" si="9"/>
        <v/>
      </c>
      <c r="AW10" s="30" t="str">
        <f t="shared" si="9"/>
        <v/>
      </c>
      <c r="AX10" s="30" t="str">
        <f t="shared" si="9"/>
        <v/>
      </c>
      <c r="AY10" s="30" t="str">
        <f t="shared" si="9"/>
        <v/>
      </c>
      <c r="AZ10" s="30" t="str">
        <f t="shared" si="9"/>
        <v/>
      </c>
      <c r="BA10" s="30" t="str">
        <f t="shared" ref="BA10:BJ34" si="10">IF(AND(Type="M",Start=Date),"◆","")</f>
        <v/>
      </c>
      <c r="BB10" s="30" t="str">
        <f t="shared" si="10"/>
        <v/>
      </c>
      <c r="BC10" s="30" t="str">
        <f t="shared" si="10"/>
        <v/>
      </c>
      <c r="BD10" s="30" t="str">
        <f t="shared" si="10"/>
        <v/>
      </c>
      <c r="BE10" s="30" t="str">
        <f t="shared" si="10"/>
        <v/>
      </c>
      <c r="BF10" s="30" t="str">
        <f t="shared" si="10"/>
        <v/>
      </c>
      <c r="BG10" s="30" t="str">
        <f t="shared" si="10"/>
        <v/>
      </c>
      <c r="BH10" s="30" t="str">
        <f t="shared" si="10"/>
        <v/>
      </c>
      <c r="BI10" s="30" t="str">
        <f t="shared" si="10"/>
        <v/>
      </c>
      <c r="BJ10" s="30" t="str">
        <f t="shared" si="10"/>
        <v/>
      </c>
      <c r="BK10" s="30" t="str">
        <f t="shared" ref="BK10:BP34" si="11">IF(AND(Type="M",Start=Date),"◆","")</f>
        <v/>
      </c>
      <c r="BL10" s="30" t="str">
        <f t="shared" si="11"/>
        <v/>
      </c>
      <c r="BM10" s="30" t="str">
        <f t="shared" si="11"/>
        <v/>
      </c>
      <c r="BN10" s="30" t="str">
        <f t="shared" si="11"/>
        <v/>
      </c>
      <c r="BO10" s="30" t="str">
        <f t="shared" si="11"/>
        <v/>
      </c>
      <c r="BP10" s="30" t="str">
        <f t="shared" si="11"/>
        <v/>
      </c>
    </row>
    <row r="11" spans="1:68" outlineLevel="1" x14ac:dyDescent="0.25">
      <c r="B11" s="32">
        <f>B10+1</f>
        <v>2</v>
      </c>
      <c r="C11" s="33" t="s">
        <v>5</v>
      </c>
      <c r="D11" s="34" t="s">
        <v>500</v>
      </c>
      <c r="E11" s="34"/>
      <c r="F11" s="40"/>
      <c r="G11" s="33">
        <v>1</v>
      </c>
      <c r="H11" s="35">
        <f>H10</f>
        <v>45809</v>
      </c>
      <c r="I11" s="35" cm="1">
        <f t="array" ref="I11">IF(G11&lt;&gt;"",WORKDAY(Start,Duration-1),IF(Type="M",WORKDAY(Start,Duration-1),""))</f>
        <v>45809</v>
      </c>
      <c r="J11" s="44">
        <v>1</v>
      </c>
      <c r="K11" s="47"/>
      <c r="L11" s="34"/>
      <c r="M11" s="36" t="str">
        <f t="shared" si="6"/>
        <v/>
      </c>
      <c r="N11" s="34" t="str">
        <f t="shared" si="6"/>
        <v/>
      </c>
      <c r="O11" s="34" t="str">
        <f t="shared" si="6"/>
        <v/>
      </c>
      <c r="P11" s="34" t="str">
        <f t="shared" si="6"/>
        <v/>
      </c>
      <c r="Q11" s="34" t="str">
        <f t="shared" si="6"/>
        <v/>
      </c>
      <c r="R11" s="34" t="str">
        <f t="shared" si="6"/>
        <v/>
      </c>
      <c r="S11" s="34" t="str">
        <f t="shared" si="6"/>
        <v/>
      </c>
      <c r="T11" s="34" t="str">
        <f t="shared" si="6"/>
        <v/>
      </c>
      <c r="U11" s="34" t="str">
        <f t="shared" si="6"/>
        <v/>
      </c>
      <c r="V11" s="34" t="str">
        <f t="shared" si="6"/>
        <v/>
      </c>
      <c r="W11" s="34" t="str">
        <f t="shared" si="6"/>
        <v/>
      </c>
      <c r="X11" s="34" t="str">
        <f t="shared" si="6"/>
        <v/>
      </c>
      <c r="Y11" s="34" t="str">
        <f t="shared" si="6"/>
        <v/>
      </c>
      <c r="Z11" s="34" t="str">
        <f t="shared" si="6"/>
        <v/>
      </c>
      <c r="AA11" s="34" t="str">
        <f t="shared" si="6"/>
        <v/>
      </c>
      <c r="AB11" s="34" t="str">
        <f t="shared" si="6"/>
        <v/>
      </c>
      <c r="AC11" s="34" t="str">
        <f t="shared" si="7"/>
        <v/>
      </c>
      <c r="AD11" s="34" t="str">
        <f t="shared" si="7"/>
        <v/>
      </c>
      <c r="AE11" s="34" t="str">
        <f t="shared" si="7"/>
        <v/>
      </c>
      <c r="AF11" s="34" t="str">
        <f t="shared" si="7"/>
        <v/>
      </c>
      <c r="AG11" s="34" t="str">
        <f t="shared" si="7"/>
        <v/>
      </c>
      <c r="AH11" s="34" t="str">
        <f t="shared" si="7"/>
        <v/>
      </c>
      <c r="AI11" s="34" t="str">
        <f t="shared" si="7"/>
        <v/>
      </c>
      <c r="AJ11" s="34" t="str">
        <f t="shared" si="7"/>
        <v/>
      </c>
      <c r="AK11" s="34" t="str">
        <f t="shared" si="7"/>
        <v/>
      </c>
      <c r="AL11" s="34" t="str">
        <f t="shared" si="7"/>
        <v/>
      </c>
      <c r="AM11" s="34" t="str">
        <f t="shared" si="8"/>
        <v/>
      </c>
      <c r="AN11" s="34" t="str">
        <f t="shared" si="8"/>
        <v/>
      </c>
      <c r="AO11" s="34" t="str">
        <f t="shared" si="8"/>
        <v/>
      </c>
      <c r="AP11" s="34" t="str">
        <f t="shared" si="8"/>
        <v/>
      </c>
      <c r="AQ11" s="34" t="str">
        <f t="shared" si="8"/>
        <v/>
      </c>
      <c r="AR11" s="34" t="str">
        <f t="shared" si="8"/>
        <v/>
      </c>
      <c r="AS11" s="34" t="str">
        <f t="shared" si="8"/>
        <v/>
      </c>
      <c r="AT11" s="34" t="str">
        <f t="shared" si="8"/>
        <v/>
      </c>
      <c r="AU11" s="34" t="str">
        <f t="shared" si="8"/>
        <v/>
      </c>
      <c r="AV11" s="34" t="str">
        <f t="shared" si="8"/>
        <v/>
      </c>
      <c r="AW11" s="34" t="str">
        <f t="shared" si="9"/>
        <v/>
      </c>
      <c r="AX11" s="34" t="str">
        <f t="shared" si="9"/>
        <v/>
      </c>
      <c r="AY11" s="34" t="str">
        <f t="shared" si="9"/>
        <v/>
      </c>
      <c r="AZ11" s="34" t="str">
        <f t="shared" si="9"/>
        <v/>
      </c>
      <c r="BA11" s="34" t="str">
        <f t="shared" si="9"/>
        <v/>
      </c>
      <c r="BB11" s="34" t="str">
        <f t="shared" si="9"/>
        <v/>
      </c>
      <c r="BC11" s="34" t="str">
        <f t="shared" si="9"/>
        <v/>
      </c>
      <c r="BD11" s="34" t="str">
        <f t="shared" si="9"/>
        <v/>
      </c>
      <c r="BE11" s="34" t="str">
        <f t="shared" si="9"/>
        <v/>
      </c>
      <c r="BF11" s="34" t="str">
        <f t="shared" si="9"/>
        <v/>
      </c>
      <c r="BG11" s="34" t="str">
        <f t="shared" si="10"/>
        <v/>
      </c>
      <c r="BH11" s="34" t="str">
        <f t="shared" si="10"/>
        <v/>
      </c>
      <c r="BI11" s="34" t="str">
        <f t="shared" si="10"/>
        <v/>
      </c>
      <c r="BJ11" s="34" t="str">
        <f t="shared" si="10"/>
        <v/>
      </c>
      <c r="BK11" s="34" t="str">
        <f t="shared" si="11"/>
        <v/>
      </c>
      <c r="BL11" s="34" t="str">
        <f t="shared" si="11"/>
        <v/>
      </c>
      <c r="BM11" s="34" t="str">
        <f t="shared" si="11"/>
        <v/>
      </c>
      <c r="BN11" s="34" t="str">
        <f t="shared" si="11"/>
        <v/>
      </c>
      <c r="BO11" s="34" t="str">
        <f t="shared" si="11"/>
        <v/>
      </c>
      <c r="BP11" s="34" t="str">
        <f t="shared" si="11"/>
        <v/>
      </c>
    </row>
    <row r="12" spans="1:68" outlineLevel="1" x14ac:dyDescent="0.25">
      <c r="B12" s="32">
        <v>3</v>
      </c>
      <c r="C12" s="33" t="s">
        <v>5</v>
      </c>
      <c r="D12" s="34" t="s">
        <v>453</v>
      </c>
      <c r="E12" s="34"/>
      <c r="F12" s="40"/>
      <c r="G12" s="33">
        <v>1</v>
      </c>
      <c r="H12" s="35">
        <f t="shared" ref="H12:H21" si="12">IF(Type&lt;&gt;"M",WORKDAY(I11,1),I11)</f>
        <v>45810</v>
      </c>
      <c r="I12" s="35" cm="1">
        <f t="array" ref="I12">IF(G12&lt;&gt;"",WORKDAY(Start,Duration-1),IF(Type="M",WORKDAY(Start,Duration-1),""))</f>
        <v>45810</v>
      </c>
      <c r="J12" s="44">
        <v>1</v>
      </c>
      <c r="K12" s="47" t="s">
        <v>92</v>
      </c>
      <c r="L12" s="34"/>
      <c r="M12" s="36" t="str">
        <f t="shared" si="6"/>
        <v/>
      </c>
      <c r="N12" s="34" t="str">
        <f t="shared" si="6"/>
        <v/>
      </c>
      <c r="O12" s="34" t="str">
        <f t="shared" si="6"/>
        <v/>
      </c>
      <c r="P12" s="34" t="str">
        <f t="shared" si="6"/>
        <v/>
      </c>
      <c r="Q12" s="34" t="str">
        <f t="shared" si="6"/>
        <v/>
      </c>
      <c r="R12" s="34"/>
      <c r="S12" s="34"/>
      <c r="T12" s="34" t="str">
        <f t="shared" si="6"/>
        <v/>
      </c>
      <c r="U12" s="34" t="str">
        <f t="shared" si="6"/>
        <v/>
      </c>
      <c r="V12" s="34" t="str">
        <f t="shared" si="6"/>
        <v/>
      </c>
      <c r="W12" s="34" t="str">
        <f t="shared" si="6"/>
        <v/>
      </c>
      <c r="X12" s="34" t="str">
        <f t="shared" si="6"/>
        <v/>
      </c>
      <c r="Y12" s="34"/>
      <c r="Z12" s="34"/>
      <c r="AA12" s="34" t="str">
        <f t="shared" si="6"/>
        <v/>
      </c>
      <c r="AB12" s="34" t="str">
        <f t="shared" si="6"/>
        <v/>
      </c>
      <c r="AC12" s="34" t="str">
        <f t="shared" si="7"/>
        <v/>
      </c>
      <c r="AD12" s="34" t="str">
        <f t="shared" si="7"/>
        <v/>
      </c>
      <c r="AE12" s="34" t="str">
        <f t="shared" si="7"/>
        <v/>
      </c>
      <c r="AF12" s="34"/>
      <c r="AG12" s="34"/>
      <c r="AH12" s="34" t="str">
        <f t="shared" si="7"/>
        <v/>
      </c>
      <c r="AI12" s="34" t="str">
        <f t="shared" si="7"/>
        <v/>
      </c>
      <c r="AJ12" s="34" t="str">
        <f t="shared" si="7"/>
        <v/>
      </c>
      <c r="AK12" s="34" t="str">
        <f t="shared" si="7"/>
        <v/>
      </c>
      <c r="AL12" s="34" t="str">
        <f t="shared" si="7"/>
        <v/>
      </c>
      <c r="AM12" s="34"/>
      <c r="AN12" s="34"/>
      <c r="AO12" s="34" t="str">
        <f t="shared" si="8"/>
        <v/>
      </c>
      <c r="AP12" s="34" t="str">
        <f t="shared" si="8"/>
        <v/>
      </c>
      <c r="AQ12" s="34" t="str">
        <f t="shared" si="8"/>
        <v/>
      </c>
      <c r="AR12" s="34" t="str">
        <f t="shared" si="8"/>
        <v/>
      </c>
      <c r="AS12" s="34" t="str">
        <f t="shared" si="8"/>
        <v/>
      </c>
      <c r="AT12" s="34"/>
      <c r="AU12" s="34"/>
      <c r="AV12" s="34" t="str">
        <f t="shared" si="8"/>
        <v/>
      </c>
      <c r="AW12" s="34" t="str">
        <f t="shared" si="9"/>
        <v/>
      </c>
      <c r="AX12" s="34" t="str">
        <f t="shared" si="9"/>
        <v/>
      </c>
      <c r="AY12" s="34" t="str">
        <f t="shared" si="9"/>
        <v/>
      </c>
      <c r="AZ12" s="34" t="str">
        <f t="shared" si="9"/>
        <v/>
      </c>
      <c r="BA12" s="34"/>
      <c r="BB12" s="34"/>
      <c r="BC12" s="34" t="str">
        <f t="shared" si="9"/>
        <v/>
      </c>
      <c r="BD12" s="34" t="str">
        <f t="shared" si="9"/>
        <v/>
      </c>
      <c r="BE12" s="34" t="str">
        <f t="shared" si="9"/>
        <v/>
      </c>
      <c r="BF12" s="34" t="str">
        <f t="shared" si="9"/>
        <v/>
      </c>
      <c r="BG12" s="34" t="str">
        <f t="shared" si="10"/>
        <v/>
      </c>
      <c r="BH12" s="34"/>
      <c r="BI12" s="34"/>
      <c r="BJ12" s="34"/>
      <c r="BK12" s="34"/>
      <c r="BL12" s="34"/>
      <c r="BM12" s="34"/>
      <c r="BN12" s="34"/>
      <c r="BO12" s="34"/>
      <c r="BP12" s="34"/>
    </row>
    <row r="13" spans="1:68" outlineLevel="1" x14ac:dyDescent="0.25">
      <c r="B13" s="32">
        <f>B12+1</f>
        <v>4</v>
      </c>
      <c r="C13" s="33" t="s">
        <v>5</v>
      </c>
      <c r="D13" s="34" t="s">
        <v>74</v>
      </c>
      <c r="E13" s="34"/>
      <c r="F13" s="40"/>
      <c r="G13" s="33">
        <v>9</v>
      </c>
      <c r="H13" s="35">
        <f t="shared" si="12"/>
        <v>45811</v>
      </c>
      <c r="I13" s="35" cm="1">
        <f t="array" ref="I13">IF(G13&lt;&gt;"",WORKDAY(Start,Duration-1),IF(Type="M",WORKDAY(Start,Duration-1),""))</f>
        <v>45821</v>
      </c>
      <c r="J13" s="44">
        <v>1</v>
      </c>
      <c r="K13" s="47"/>
      <c r="L13" s="34"/>
      <c r="M13" s="36" t="str">
        <f t="shared" si="6"/>
        <v/>
      </c>
      <c r="N13" s="34" t="str">
        <f t="shared" si="6"/>
        <v/>
      </c>
      <c r="O13" s="34" t="str">
        <f t="shared" si="6"/>
        <v/>
      </c>
      <c r="P13" s="34" t="str">
        <f t="shared" si="6"/>
        <v/>
      </c>
      <c r="Q13" s="34" t="str">
        <f t="shared" si="6"/>
        <v/>
      </c>
      <c r="R13" s="34"/>
      <c r="S13" s="34"/>
      <c r="T13" s="34" t="str">
        <f t="shared" si="6"/>
        <v/>
      </c>
      <c r="U13" s="34" t="str">
        <f t="shared" si="6"/>
        <v/>
      </c>
      <c r="V13" s="34" t="str">
        <f t="shared" si="6"/>
        <v/>
      </c>
      <c r="W13" s="34" t="str">
        <f t="shared" si="6"/>
        <v/>
      </c>
      <c r="X13" s="34" t="str">
        <f t="shared" si="6"/>
        <v/>
      </c>
      <c r="Y13" s="34"/>
      <c r="Z13" s="34"/>
      <c r="AA13" s="34" t="str">
        <f t="shared" si="6"/>
        <v/>
      </c>
      <c r="AB13" s="34" t="str">
        <f t="shared" si="6"/>
        <v/>
      </c>
      <c r="AC13" s="34" t="str">
        <f t="shared" si="7"/>
        <v/>
      </c>
      <c r="AD13" s="34" t="str">
        <f t="shared" si="7"/>
        <v/>
      </c>
      <c r="AE13" s="34" t="str">
        <f t="shared" si="7"/>
        <v/>
      </c>
      <c r="AF13" s="34"/>
      <c r="AG13" s="34"/>
      <c r="AH13" s="34" t="str">
        <f t="shared" si="7"/>
        <v/>
      </c>
      <c r="AI13" s="34" t="str">
        <f t="shared" si="7"/>
        <v/>
      </c>
      <c r="AJ13" s="34" t="str">
        <f t="shared" si="7"/>
        <v/>
      </c>
      <c r="AK13" s="34" t="str">
        <f t="shared" si="7"/>
        <v/>
      </c>
      <c r="AL13" s="34" t="str">
        <f t="shared" si="7"/>
        <v/>
      </c>
      <c r="AM13" s="34"/>
      <c r="AN13" s="34"/>
      <c r="AO13" s="34" t="str">
        <f t="shared" si="8"/>
        <v/>
      </c>
      <c r="AP13" s="34" t="str">
        <f t="shared" si="8"/>
        <v/>
      </c>
      <c r="AQ13" s="34" t="str">
        <f t="shared" si="8"/>
        <v/>
      </c>
      <c r="AR13" s="34" t="str">
        <f t="shared" si="8"/>
        <v/>
      </c>
      <c r="AS13" s="34" t="str">
        <f t="shared" si="8"/>
        <v/>
      </c>
      <c r="AT13" s="34"/>
      <c r="AU13" s="34"/>
      <c r="AV13" s="34" t="str">
        <f t="shared" si="8"/>
        <v/>
      </c>
      <c r="AW13" s="34" t="str">
        <f t="shared" si="9"/>
        <v/>
      </c>
      <c r="AX13" s="34" t="str">
        <f t="shared" si="9"/>
        <v/>
      </c>
      <c r="AY13" s="34" t="str">
        <f t="shared" si="9"/>
        <v/>
      </c>
      <c r="AZ13" s="34" t="str">
        <f t="shared" si="9"/>
        <v/>
      </c>
      <c r="BA13" s="34"/>
      <c r="BB13" s="34"/>
      <c r="BC13" s="34" t="str">
        <f t="shared" si="9"/>
        <v/>
      </c>
      <c r="BD13" s="34" t="str">
        <f t="shared" si="9"/>
        <v/>
      </c>
      <c r="BE13" s="34" t="str">
        <f t="shared" si="9"/>
        <v/>
      </c>
      <c r="BF13" s="34" t="str">
        <f t="shared" si="9"/>
        <v/>
      </c>
      <c r="BG13" s="34" t="str">
        <f t="shared" si="10"/>
        <v/>
      </c>
      <c r="BH13" s="34"/>
      <c r="BI13" s="34"/>
      <c r="BJ13" s="34"/>
      <c r="BK13" s="34"/>
      <c r="BL13" s="34"/>
      <c r="BM13" s="34"/>
      <c r="BN13" s="34"/>
      <c r="BO13" s="34"/>
      <c r="BP13" s="34"/>
    </row>
    <row r="14" spans="1:68" outlineLevel="1" x14ac:dyDescent="0.25">
      <c r="B14" s="32">
        <f>B13+1</f>
        <v>5</v>
      </c>
      <c r="C14" s="33" t="s">
        <v>5</v>
      </c>
      <c r="D14" s="34" t="s">
        <v>542</v>
      </c>
      <c r="E14" s="34"/>
      <c r="F14" s="40"/>
      <c r="G14" s="33">
        <v>1</v>
      </c>
      <c r="H14" s="35">
        <f t="shared" si="12"/>
        <v>45824</v>
      </c>
      <c r="I14" s="35" cm="1">
        <f t="array" ref="I14">IF(G14&lt;&gt;"",WORKDAY(Start,Duration-1),IF(Type="M",WORKDAY(Start,Duration-1),""))</f>
        <v>45824</v>
      </c>
      <c r="J14" s="44">
        <v>0.5</v>
      </c>
      <c r="K14" s="48"/>
      <c r="L14" s="34"/>
      <c r="M14" s="36" t="str">
        <f t="shared" si="6"/>
        <v/>
      </c>
      <c r="N14" s="34" t="str">
        <f t="shared" si="6"/>
        <v/>
      </c>
      <c r="O14" s="34" t="str">
        <f t="shared" si="6"/>
        <v/>
      </c>
      <c r="P14" s="34" t="str">
        <f t="shared" si="6"/>
        <v/>
      </c>
      <c r="Q14" s="34" t="str">
        <f t="shared" si="6"/>
        <v/>
      </c>
      <c r="R14" s="34" t="str">
        <f t="shared" si="6"/>
        <v/>
      </c>
      <c r="S14" s="34" t="str">
        <f t="shared" si="6"/>
        <v/>
      </c>
      <c r="T14" s="34" t="str">
        <f t="shared" si="6"/>
        <v/>
      </c>
      <c r="U14" s="34" t="str">
        <f t="shared" si="6"/>
        <v/>
      </c>
      <c r="V14" s="34" t="str">
        <f t="shared" si="6"/>
        <v/>
      </c>
      <c r="W14" s="34" t="str">
        <f t="shared" si="6"/>
        <v/>
      </c>
      <c r="X14" s="34" t="str">
        <f t="shared" si="6"/>
        <v/>
      </c>
      <c r="Y14" s="34" t="str">
        <f t="shared" si="7"/>
        <v/>
      </c>
      <c r="Z14" s="34" t="str">
        <f t="shared" si="7"/>
        <v/>
      </c>
      <c r="AA14" s="34" t="str">
        <f t="shared" si="6"/>
        <v/>
      </c>
      <c r="AB14" s="34" t="str">
        <f t="shared" si="6"/>
        <v/>
      </c>
      <c r="AC14" s="34" t="str">
        <f t="shared" si="7"/>
        <v/>
      </c>
      <c r="AD14" s="34" t="str">
        <f t="shared" si="7"/>
        <v/>
      </c>
      <c r="AE14" s="34" t="str">
        <f t="shared" si="7"/>
        <v/>
      </c>
      <c r="AF14" s="34" t="str">
        <f t="shared" si="7"/>
        <v/>
      </c>
      <c r="AG14" s="34" t="str">
        <f t="shared" si="8"/>
        <v/>
      </c>
      <c r="AH14" s="34" t="str">
        <f t="shared" si="7"/>
        <v/>
      </c>
      <c r="AI14" s="34" t="str">
        <f t="shared" si="7"/>
        <v/>
      </c>
      <c r="AJ14" s="34" t="str">
        <f t="shared" si="7"/>
        <v/>
      </c>
      <c r="AK14" s="34" t="str">
        <f t="shared" si="7"/>
        <v/>
      </c>
      <c r="AL14" s="34" t="str">
        <f t="shared" si="7"/>
        <v/>
      </c>
      <c r="AM14" s="34" t="str">
        <f t="shared" si="8"/>
        <v/>
      </c>
      <c r="AN14" s="34" t="str">
        <f t="shared" si="8"/>
        <v/>
      </c>
      <c r="AO14" s="34" t="str">
        <f t="shared" si="8"/>
        <v/>
      </c>
      <c r="AP14" s="34" t="str">
        <f t="shared" si="8"/>
        <v/>
      </c>
      <c r="AQ14" s="34" t="str">
        <f t="shared" si="8"/>
        <v/>
      </c>
      <c r="AR14" s="34" t="str">
        <f t="shared" si="8"/>
        <v/>
      </c>
      <c r="AS14" s="34" t="str">
        <f t="shared" si="8"/>
        <v/>
      </c>
      <c r="AT14" s="34" t="str">
        <f t="shared" si="9"/>
        <v/>
      </c>
      <c r="AU14" s="34" t="str">
        <f t="shared" si="9"/>
        <v/>
      </c>
      <c r="AV14" s="34" t="str">
        <f t="shared" si="8"/>
        <v/>
      </c>
      <c r="AW14" s="34" t="str">
        <f t="shared" si="9"/>
        <v/>
      </c>
      <c r="AX14" s="34" t="str">
        <f t="shared" si="9"/>
        <v/>
      </c>
      <c r="AY14" s="34" t="str">
        <f t="shared" si="9"/>
        <v/>
      </c>
      <c r="AZ14" s="34" t="str">
        <f t="shared" si="9"/>
        <v/>
      </c>
      <c r="BA14" s="34" t="str">
        <f t="shared" si="10"/>
        <v/>
      </c>
      <c r="BB14" s="34" t="str">
        <f t="shared" si="10"/>
        <v/>
      </c>
      <c r="BC14" s="34" t="str">
        <f t="shared" si="9"/>
        <v/>
      </c>
      <c r="BD14" s="34" t="str">
        <f t="shared" si="9"/>
        <v/>
      </c>
      <c r="BE14" s="34" t="str">
        <f t="shared" si="9"/>
        <v/>
      </c>
      <c r="BF14" s="34" t="str">
        <f t="shared" si="9"/>
        <v/>
      </c>
      <c r="BG14" s="34" t="str">
        <f t="shared" si="10"/>
        <v/>
      </c>
      <c r="BH14" s="34" t="str">
        <f t="shared" si="10"/>
        <v/>
      </c>
      <c r="BI14" s="34" t="str">
        <f t="shared" si="10"/>
        <v/>
      </c>
      <c r="BJ14" s="34" t="str">
        <f t="shared" si="10"/>
        <v/>
      </c>
      <c r="BK14" s="34" t="str">
        <f t="shared" si="11"/>
        <v/>
      </c>
      <c r="BL14" s="34" t="str">
        <f t="shared" si="11"/>
        <v/>
      </c>
      <c r="BM14" s="34" t="str">
        <f t="shared" si="11"/>
        <v/>
      </c>
      <c r="BN14" s="34" t="str">
        <f t="shared" si="11"/>
        <v/>
      </c>
      <c r="BO14" s="34" t="str">
        <f t="shared" si="11"/>
        <v/>
      </c>
      <c r="BP14" s="34" t="str">
        <f t="shared" si="11"/>
        <v/>
      </c>
    </row>
    <row r="15" spans="1:68" outlineLevel="1" x14ac:dyDescent="0.25">
      <c r="B15" s="32">
        <f t="shared" ref="B15:B34" si="13">B14+1</f>
        <v>6</v>
      </c>
      <c r="C15" s="33" t="s">
        <v>5</v>
      </c>
      <c r="D15" s="34" t="s">
        <v>498</v>
      </c>
      <c r="E15" s="34"/>
      <c r="F15" s="40"/>
      <c r="G15" s="33">
        <v>10</v>
      </c>
      <c r="H15" s="35">
        <f t="shared" si="12"/>
        <v>45825</v>
      </c>
      <c r="I15" s="35" cm="1">
        <f t="array" ref="I15">IF(G15&lt;&gt;"",WORKDAY(Start,Duration-1),IF(Type="M",WORKDAY(Start,Duration-1),""))</f>
        <v>45838</v>
      </c>
      <c r="J15" s="44">
        <v>0.3</v>
      </c>
      <c r="K15" s="47"/>
      <c r="L15" s="34"/>
      <c r="M15" s="36" t="str">
        <f t="shared" si="6"/>
        <v/>
      </c>
      <c r="N15" s="34" t="str">
        <f t="shared" si="6"/>
        <v/>
      </c>
      <c r="O15" s="34" t="str">
        <f t="shared" si="6"/>
        <v/>
      </c>
      <c r="P15" s="34" t="str">
        <f t="shared" si="6"/>
        <v/>
      </c>
      <c r="Q15" s="34" t="str">
        <f t="shared" si="6"/>
        <v/>
      </c>
      <c r="R15" s="34" t="str">
        <f t="shared" si="6"/>
        <v/>
      </c>
      <c r="S15" s="34" t="str">
        <f t="shared" si="6"/>
        <v/>
      </c>
      <c r="T15" s="34" t="str">
        <f t="shared" si="6"/>
        <v/>
      </c>
      <c r="U15" s="34" t="str">
        <f t="shared" si="6"/>
        <v/>
      </c>
      <c r="V15" s="34" t="str">
        <f t="shared" si="6"/>
        <v/>
      </c>
      <c r="W15" s="34" t="str">
        <f t="shared" si="6"/>
        <v/>
      </c>
      <c r="X15" s="34" t="str">
        <f t="shared" si="6"/>
        <v/>
      </c>
      <c r="Y15" s="34" t="str">
        <f t="shared" si="7"/>
        <v/>
      </c>
      <c r="Z15" s="34" t="str">
        <f t="shared" si="7"/>
        <v/>
      </c>
      <c r="AA15" s="34" t="str">
        <f t="shared" si="6"/>
        <v/>
      </c>
      <c r="AB15" s="34" t="str">
        <f t="shared" si="6"/>
        <v/>
      </c>
      <c r="AC15" s="34" t="str">
        <f t="shared" si="7"/>
        <v/>
      </c>
      <c r="AD15" s="34" t="str">
        <f t="shared" si="7"/>
        <v/>
      </c>
      <c r="AE15" s="34" t="str">
        <f t="shared" si="7"/>
        <v/>
      </c>
      <c r="AF15" s="34" t="str">
        <f t="shared" si="7"/>
        <v/>
      </c>
      <c r="AG15" s="34" t="str">
        <f t="shared" si="8"/>
        <v/>
      </c>
      <c r="AH15" s="34" t="str">
        <f t="shared" si="7"/>
        <v/>
      </c>
      <c r="AI15" s="34" t="str">
        <f t="shared" si="7"/>
        <v/>
      </c>
      <c r="AJ15" s="34" t="str">
        <f t="shared" si="7"/>
        <v/>
      </c>
      <c r="AK15" s="34" t="str">
        <f t="shared" si="7"/>
        <v/>
      </c>
      <c r="AL15" s="34" t="str">
        <f t="shared" si="7"/>
        <v/>
      </c>
      <c r="AM15" s="34" t="str">
        <f t="shared" si="8"/>
        <v/>
      </c>
      <c r="AN15" s="34" t="str">
        <f t="shared" si="8"/>
        <v/>
      </c>
      <c r="AO15" s="34" t="str">
        <f t="shared" si="8"/>
        <v/>
      </c>
      <c r="AP15" s="34" t="str">
        <f t="shared" si="8"/>
        <v/>
      </c>
      <c r="AQ15" s="34" t="str">
        <f t="shared" si="8"/>
        <v/>
      </c>
      <c r="AR15" s="34" t="str">
        <f t="shared" si="8"/>
        <v/>
      </c>
      <c r="AS15" s="34" t="str">
        <f t="shared" si="8"/>
        <v/>
      </c>
      <c r="AT15" s="34" t="str">
        <f t="shared" si="9"/>
        <v/>
      </c>
      <c r="AU15" s="34" t="str">
        <f t="shared" si="9"/>
        <v/>
      </c>
      <c r="AV15" s="34" t="str">
        <f t="shared" si="8"/>
        <v/>
      </c>
      <c r="AW15" s="34" t="str">
        <f t="shared" si="9"/>
        <v/>
      </c>
      <c r="AX15" s="34" t="str">
        <f t="shared" si="9"/>
        <v/>
      </c>
      <c r="AY15" s="34" t="str">
        <f t="shared" si="9"/>
        <v/>
      </c>
      <c r="AZ15" s="34" t="str">
        <f t="shared" si="9"/>
        <v/>
      </c>
      <c r="BA15" s="34" t="str">
        <f t="shared" si="10"/>
        <v/>
      </c>
      <c r="BB15" s="34" t="str">
        <f t="shared" si="10"/>
        <v/>
      </c>
      <c r="BC15" s="34" t="str">
        <f t="shared" si="9"/>
        <v/>
      </c>
      <c r="BD15" s="34" t="str">
        <f t="shared" si="9"/>
        <v/>
      </c>
      <c r="BE15" s="34" t="str">
        <f t="shared" si="9"/>
        <v/>
      </c>
      <c r="BF15" s="34" t="str">
        <f t="shared" si="9"/>
        <v/>
      </c>
      <c r="BG15" s="34" t="str">
        <f t="shared" si="10"/>
        <v/>
      </c>
      <c r="BH15" s="34" t="str">
        <f t="shared" si="10"/>
        <v/>
      </c>
      <c r="BI15" s="34" t="str">
        <f t="shared" si="10"/>
        <v/>
      </c>
      <c r="BJ15" s="34" t="str">
        <f t="shared" si="10"/>
        <v/>
      </c>
      <c r="BK15" s="34" t="str">
        <f t="shared" si="11"/>
        <v/>
      </c>
      <c r="BL15" s="34" t="str">
        <f t="shared" si="11"/>
        <v/>
      </c>
      <c r="BM15" s="34" t="str">
        <f t="shared" si="11"/>
        <v/>
      </c>
      <c r="BN15" s="34" t="str">
        <f t="shared" si="11"/>
        <v/>
      </c>
      <c r="BO15" s="34" t="str">
        <f t="shared" si="11"/>
        <v/>
      </c>
      <c r="BP15" s="34" t="str">
        <f t="shared" si="11"/>
        <v/>
      </c>
    </row>
    <row r="16" spans="1:68" outlineLevel="1" x14ac:dyDescent="0.25">
      <c r="B16" s="32">
        <f>B15+1</f>
        <v>7</v>
      </c>
      <c r="C16" s="33" t="s">
        <v>5</v>
      </c>
      <c r="D16" s="34" t="s">
        <v>499</v>
      </c>
      <c r="E16" s="34"/>
      <c r="F16" s="40"/>
      <c r="G16" s="33">
        <v>2</v>
      </c>
      <c r="H16" s="35">
        <f t="shared" si="12"/>
        <v>45839</v>
      </c>
      <c r="I16" s="35" cm="1">
        <f t="array" ref="I16">IF(G16&lt;&gt;"",WORKDAY(Start,Duration-1),IF(Type="M",WORKDAY(Start,Duration-1),""))</f>
        <v>45840</v>
      </c>
      <c r="J16" s="44"/>
      <c r="K16" s="47" t="s">
        <v>442</v>
      </c>
      <c r="L16" s="34"/>
      <c r="M16" s="36" t="str">
        <f t="shared" si="6"/>
        <v/>
      </c>
      <c r="N16" s="34" t="str">
        <f t="shared" si="6"/>
        <v/>
      </c>
      <c r="O16" s="34" t="str">
        <f t="shared" si="6"/>
        <v/>
      </c>
      <c r="P16" s="34" t="str">
        <f t="shared" si="6"/>
        <v/>
      </c>
      <c r="Q16" s="34" t="str">
        <f t="shared" si="6"/>
        <v/>
      </c>
      <c r="R16" s="34"/>
      <c r="S16" s="34"/>
      <c r="T16" s="34" t="str">
        <f t="shared" si="6"/>
        <v/>
      </c>
      <c r="U16" s="34" t="str">
        <f t="shared" si="6"/>
        <v/>
      </c>
      <c r="V16" s="34" t="str">
        <f t="shared" si="6"/>
        <v/>
      </c>
      <c r="W16" s="34" t="str">
        <f t="shared" si="6"/>
        <v/>
      </c>
      <c r="X16" s="34" t="str">
        <f t="shared" si="6"/>
        <v/>
      </c>
      <c r="Y16" s="34"/>
      <c r="Z16" s="34"/>
      <c r="AA16" s="34" t="str">
        <f t="shared" si="6"/>
        <v/>
      </c>
      <c r="AB16" s="34" t="str">
        <f t="shared" si="6"/>
        <v/>
      </c>
      <c r="AC16" s="34" t="str">
        <f t="shared" si="7"/>
        <v/>
      </c>
      <c r="AD16" s="34" t="str">
        <f t="shared" si="7"/>
        <v/>
      </c>
      <c r="AE16" s="34" t="str">
        <f t="shared" si="7"/>
        <v/>
      </c>
      <c r="AF16" s="34"/>
      <c r="AG16" s="34"/>
      <c r="AH16" s="34" t="str">
        <f t="shared" si="7"/>
        <v/>
      </c>
      <c r="AI16" s="34" t="str">
        <f t="shared" si="7"/>
        <v/>
      </c>
      <c r="AJ16" s="34" t="str">
        <f t="shared" si="7"/>
        <v/>
      </c>
      <c r="AK16" s="34" t="str">
        <f t="shared" si="7"/>
        <v/>
      </c>
      <c r="AL16" s="34" t="str">
        <f t="shared" si="7"/>
        <v/>
      </c>
      <c r="AM16" s="34"/>
      <c r="AN16" s="34"/>
      <c r="AO16" s="34" t="str">
        <f t="shared" si="8"/>
        <v/>
      </c>
      <c r="AP16" s="34" t="str">
        <f t="shared" si="8"/>
        <v/>
      </c>
      <c r="AQ16" s="34" t="str">
        <f t="shared" si="8"/>
        <v/>
      </c>
      <c r="AR16" s="34" t="str">
        <f t="shared" si="8"/>
        <v/>
      </c>
      <c r="AS16" s="34" t="str">
        <f t="shared" si="8"/>
        <v/>
      </c>
      <c r="AT16" s="34"/>
      <c r="AU16" s="34"/>
      <c r="AV16" s="34" t="str">
        <f t="shared" si="8"/>
        <v/>
      </c>
      <c r="AW16" s="34" t="str">
        <f t="shared" si="9"/>
        <v/>
      </c>
      <c r="AX16" s="34" t="str">
        <f t="shared" si="9"/>
        <v/>
      </c>
      <c r="AY16" s="34" t="str">
        <f t="shared" si="9"/>
        <v/>
      </c>
      <c r="AZ16" s="34" t="str">
        <f t="shared" si="9"/>
        <v/>
      </c>
      <c r="BA16" s="34"/>
      <c r="BB16" s="34"/>
      <c r="BC16" s="34" t="str">
        <f t="shared" si="9"/>
        <v/>
      </c>
      <c r="BD16" s="34" t="str">
        <f t="shared" si="9"/>
        <v/>
      </c>
      <c r="BE16" s="34" t="str">
        <f t="shared" si="9"/>
        <v/>
      </c>
      <c r="BF16" s="34" t="str">
        <f t="shared" si="9"/>
        <v/>
      </c>
      <c r="BG16" s="34" t="str">
        <f t="shared" si="10"/>
        <v/>
      </c>
      <c r="BH16" s="34"/>
      <c r="BI16" s="34"/>
      <c r="BJ16" s="34"/>
      <c r="BK16" s="34"/>
      <c r="BL16" s="34"/>
      <c r="BM16" s="34"/>
      <c r="BN16" s="34"/>
      <c r="BO16" s="34"/>
      <c r="BP16" s="34"/>
    </row>
    <row r="17" spans="2:68" outlineLevel="1" x14ac:dyDescent="0.25">
      <c r="B17" s="32">
        <f t="shared" si="13"/>
        <v>8</v>
      </c>
      <c r="C17" s="33" t="s">
        <v>5</v>
      </c>
      <c r="D17" s="34" t="s">
        <v>504</v>
      </c>
      <c r="E17" s="34"/>
      <c r="F17" s="40"/>
      <c r="G17" s="33">
        <v>1</v>
      </c>
      <c r="H17" s="35">
        <f t="shared" si="12"/>
        <v>45841</v>
      </c>
      <c r="I17" s="35" cm="1">
        <f t="array" ref="I17">IF(G17&lt;&gt;"",WORKDAY(Start,Duration-1),IF(Type="M",WORKDAY(Start,Duration-1),""))</f>
        <v>45841</v>
      </c>
      <c r="J17" s="44"/>
      <c r="K17" s="47" t="s">
        <v>372</v>
      </c>
      <c r="L17" s="34"/>
      <c r="M17" s="36" t="str">
        <f t="shared" si="6"/>
        <v/>
      </c>
      <c r="N17" s="34" t="str">
        <f t="shared" si="6"/>
        <v/>
      </c>
      <c r="O17" s="34" t="str">
        <f t="shared" si="6"/>
        <v/>
      </c>
      <c r="P17" s="34" t="str">
        <f t="shared" si="6"/>
        <v/>
      </c>
      <c r="Q17" s="34" t="str">
        <f t="shared" si="6"/>
        <v/>
      </c>
      <c r="R17" s="34"/>
      <c r="S17" s="34"/>
      <c r="T17" s="34" t="str">
        <f t="shared" si="6"/>
        <v/>
      </c>
      <c r="U17" s="34" t="str">
        <f t="shared" si="6"/>
        <v/>
      </c>
      <c r="V17" s="34" t="str">
        <f t="shared" si="6"/>
        <v/>
      </c>
      <c r="W17" s="34" t="str">
        <f t="shared" si="6"/>
        <v/>
      </c>
      <c r="X17" s="34" t="str">
        <f t="shared" si="6"/>
        <v/>
      </c>
      <c r="Y17" s="34"/>
      <c r="Z17" s="34"/>
      <c r="AA17" s="34" t="str">
        <f t="shared" si="6"/>
        <v/>
      </c>
      <c r="AB17" s="34" t="str">
        <f t="shared" si="6"/>
        <v/>
      </c>
      <c r="AC17" s="34" t="str">
        <f t="shared" si="7"/>
        <v/>
      </c>
      <c r="AD17" s="34" t="str">
        <f t="shared" si="7"/>
        <v/>
      </c>
      <c r="AE17" s="34" t="str">
        <f t="shared" si="7"/>
        <v/>
      </c>
      <c r="AF17" s="34"/>
      <c r="AG17" s="34"/>
      <c r="AH17" s="34" t="str">
        <f t="shared" si="7"/>
        <v/>
      </c>
      <c r="AI17" s="34" t="str">
        <f t="shared" si="7"/>
        <v/>
      </c>
      <c r="AJ17" s="34" t="str">
        <f t="shared" si="7"/>
        <v/>
      </c>
      <c r="AK17" s="34" t="str">
        <f t="shared" si="7"/>
        <v/>
      </c>
      <c r="AL17" s="34" t="str">
        <f t="shared" si="7"/>
        <v/>
      </c>
      <c r="AM17" s="34"/>
      <c r="AN17" s="34"/>
      <c r="AO17" s="34" t="str">
        <f t="shared" si="8"/>
        <v/>
      </c>
      <c r="AP17" s="34" t="str">
        <f t="shared" si="8"/>
        <v/>
      </c>
      <c r="AQ17" s="34" t="str">
        <f t="shared" si="8"/>
        <v/>
      </c>
      <c r="AR17" s="34" t="str">
        <f t="shared" si="8"/>
        <v/>
      </c>
      <c r="AS17" s="34" t="str">
        <f t="shared" si="8"/>
        <v/>
      </c>
      <c r="AT17" s="34"/>
      <c r="AU17" s="34"/>
      <c r="AV17" s="34" t="str">
        <f t="shared" si="8"/>
        <v/>
      </c>
      <c r="AW17" s="34" t="str">
        <f t="shared" si="9"/>
        <v/>
      </c>
      <c r="AX17" s="34" t="str">
        <f t="shared" si="9"/>
        <v/>
      </c>
      <c r="AY17" s="34" t="str">
        <f t="shared" si="9"/>
        <v/>
      </c>
      <c r="AZ17" s="34" t="str">
        <f t="shared" si="9"/>
        <v/>
      </c>
      <c r="BA17" s="34"/>
      <c r="BB17" s="34"/>
      <c r="BC17" s="34" t="str">
        <f t="shared" si="9"/>
        <v/>
      </c>
      <c r="BD17" s="34" t="str">
        <f t="shared" si="9"/>
        <v/>
      </c>
      <c r="BE17" s="34" t="str">
        <f t="shared" si="9"/>
        <v/>
      </c>
      <c r="BF17" s="34" t="str">
        <f t="shared" si="9"/>
        <v/>
      </c>
      <c r="BG17" s="34" t="str">
        <f t="shared" si="10"/>
        <v/>
      </c>
      <c r="BH17" s="34"/>
      <c r="BI17" s="34"/>
      <c r="BJ17" s="34"/>
      <c r="BK17" s="34"/>
      <c r="BL17" s="34"/>
      <c r="BM17" s="34"/>
      <c r="BN17" s="34"/>
      <c r="BO17" s="34"/>
      <c r="BP17" s="34"/>
    </row>
    <row r="18" spans="2:68" outlineLevel="1" x14ac:dyDescent="0.25">
      <c r="B18" s="32">
        <f t="shared" si="13"/>
        <v>9</v>
      </c>
      <c r="C18" s="33" t="s">
        <v>5</v>
      </c>
      <c r="D18" s="34" t="s">
        <v>490</v>
      </c>
      <c r="E18" s="34"/>
      <c r="F18" s="40"/>
      <c r="G18" s="33">
        <v>1</v>
      </c>
      <c r="H18" s="35">
        <f t="shared" si="12"/>
        <v>45842</v>
      </c>
      <c r="I18" s="35" cm="1">
        <f t="array" ref="I18">IF(G18&lt;&gt;"",WORKDAY(Start,Duration-1),IF(Type="M",WORKDAY(Start,Duration-1),""))</f>
        <v>45842</v>
      </c>
      <c r="J18" s="44"/>
      <c r="K18" s="47" t="s">
        <v>372</v>
      </c>
      <c r="L18" s="34"/>
      <c r="M18" s="36" t="str">
        <f t="shared" si="6"/>
        <v/>
      </c>
      <c r="N18" s="34" t="str">
        <f t="shared" si="6"/>
        <v/>
      </c>
      <c r="O18" s="34" t="str">
        <f t="shared" si="6"/>
        <v/>
      </c>
      <c r="P18" s="34" t="str">
        <f t="shared" si="6"/>
        <v/>
      </c>
      <c r="Q18" s="34" t="str">
        <f t="shared" si="6"/>
        <v/>
      </c>
      <c r="R18" s="34"/>
      <c r="S18" s="34"/>
      <c r="T18" s="34" t="str">
        <f t="shared" si="6"/>
        <v/>
      </c>
      <c r="U18" s="34" t="str">
        <f t="shared" si="6"/>
        <v/>
      </c>
      <c r="V18" s="34" t="str">
        <f t="shared" si="6"/>
        <v/>
      </c>
      <c r="W18" s="34" t="str">
        <f t="shared" si="6"/>
        <v/>
      </c>
      <c r="X18" s="34" t="str">
        <f t="shared" si="6"/>
        <v/>
      </c>
      <c r="Y18" s="34"/>
      <c r="Z18" s="34"/>
      <c r="AA18" s="34" t="str">
        <f t="shared" si="6"/>
        <v/>
      </c>
      <c r="AB18" s="34" t="str">
        <f t="shared" si="6"/>
        <v/>
      </c>
      <c r="AC18" s="34" t="str">
        <f t="shared" si="7"/>
        <v/>
      </c>
      <c r="AD18" s="34" t="str">
        <f t="shared" si="7"/>
        <v/>
      </c>
      <c r="AE18" s="34" t="str">
        <f t="shared" si="7"/>
        <v/>
      </c>
      <c r="AF18" s="34"/>
      <c r="AG18" s="34"/>
      <c r="AH18" s="34" t="str">
        <f t="shared" si="7"/>
        <v/>
      </c>
      <c r="AI18" s="34" t="str">
        <f t="shared" si="7"/>
        <v/>
      </c>
      <c r="AJ18" s="34" t="str">
        <f t="shared" si="7"/>
        <v/>
      </c>
      <c r="AK18" s="34" t="str">
        <f t="shared" si="7"/>
        <v/>
      </c>
      <c r="AL18" s="34" t="str">
        <f t="shared" si="7"/>
        <v/>
      </c>
      <c r="AM18" s="34"/>
      <c r="AN18" s="34"/>
      <c r="AO18" s="34" t="str">
        <f t="shared" si="8"/>
        <v/>
      </c>
      <c r="AP18" s="34" t="str">
        <f t="shared" si="8"/>
        <v/>
      </c>
      <c r="AQ18" s="34" t="str">
        <f t="shared" si="8"/>
        <v/>
      </c>
      <c r="AR18" s="34" t="str">
        <f t="shared" si="8"/>
        <v/>
      </c>
      <c r="AS18" s="34" t="str">
        <f t="shared" si="8"/>
        <v/>
      </c>
      <c r="AT18" s="34"/>
      <c r="AU18" s="34"/>
      <c r="AV18" s="34" t="str">
        <f t="shared" si="8"/>
        <v/>
      </c>
      <c r="AW18" s="34" t="str">
        <f t="shared" si="9"/>
        <v/>
      </c>
      <c r="AX18" s="34" t="str">
        <f t="shared" si="9"/>
        <v/>
      </c>
      <c r="AY18" s="34" t="str">
        <f t="shared" si="9"/>
        <v/>
      </c>
      <c r="AZ18" s="34" t="str">
        <f t="shared" si="9"/>
        <v/>
      </c>
      <c r="BA18" s="34"/>
      <c r="BB18" s="34"/>
      <c r="BC18" s="34" t="str">
        <f t="shared" si="9"/>
        <v/>
      </c>
      <c r="BD18" s="34" t="str">
        <f t="shared" si="9"/>
        <v/>
      </c>
      <c r="BE18" s="34" t="str">
        <f t="shared" si="9"/>
        <v/>
      </c>
      <c r="BF18" s="34" t="str">
        <f t="shared" si="9"/>
        <v/>
      </c>
      <c r="BG18" s="34" t="str">
        <f t="shared" si="10"/>
        <v/>
      </c>
      <c r="BH18" s="34"/>
      <c r="BI18" s="34"/>
      <c r="BJ18" s="34"/>
      <c r="BK18" s="34"/>
      <c r="BL18" s="34"/>
      <c r="BM18" s="34"/>
      <c r="BN18" s="34"/>
      <c r="BO18" s="34"/>
      <c r="BP18" s="34"/>
    </row>
    <row r="19" spans="2:68" outlineLevel="1" x14ac:dyDescent="0.25">
      <c r="B19" s="32">
        <f t="shared" si="13"/>
        <v>10</v>
      </c>
      <c r="C19" s="33" t="s">
        <v>5</v>
      </c>
      <c r="D19" s="34" t="s">
        <v>510</v>
      </c>
      <c r="E19" s="34"/>
      <c r="F19" s="40"/>
      <c r="G19" s="33">
        <v>5</v>
      </c>
      <c r="H19" s="35">
        <f t="shared" si="12"/>
        <v>45845</v>
      </c>
      <c r="I19" s="35" cm="1">
        <f t="array" ref="I19">IF(G19&lt;&gt;"",WORKDAY(Start,Duration-1),IF(Type="M",WORKDAY(Start,Duration-1),""))</f>
        <v>45849</v>
      </c>
      <c r="J19" s="44"/>
      <c r="K19" s="47" t="s">
        <v>473</v>
      </c>
      <c r="L19" s="34"/>
      <c r="M19" s="36" t="str">
        <f t="shared" ref="M19:Q70" si="14">IF(AND(Type="M",Start=Date),"◆","")</f>
        <v/>
      </c>
      <c r="N19" s="34" t="str">
        <f t="shared" si="14"/>
        <v/>
      </c>
      <c r="O19" s="34" t="str">
        <f t="shared" si="14"/>
        <v/>
      </c>
      <c r="P19" s="34" t="str">
        <f t="shared" si="14"/>
        <v/>
      </c>
      <c r="Q19" s="34" t="str">
        <f t="shared" si="14"/>
        <v/>
      </c>
      <c r="R19" s="34"/>
      <c r="S19" s="34"/>
      <c r="T19" s="34" t="str">
        <f t="shared" si="6"/>
        <v/>
      </c>
      <c r="U19" s="34" t="str">
        <f t="shared" si="6"/>
        <v/>
      </c>
      <c r="V19" s="34" t="str">
        <f t="shared" si="6"/>
        <v/>
      </c>
      <c r="W19" s="34" t="str">
        <f t="shared" si="6"/>
        <v/>
      </c>
      <c r="X19" s="34" t="str">
        <f t="shared" si="6"/>
        <v/>
      </c>
      <c r="Y19" s="34"/>
      <c r="Z19" s="34"/>
      <c r="AA19" s="34" t="str">
        <f t="shared" si="6"/>
        <v/>
      </c>
      <c r="AB19" s="34" t="str">
        <f t="shared" ref="AA19:AE78" si="15">IF(AND(Type="M",Start=Date),"◆","")</f>
        <v/>
      </c>
      <c r="AC19" s="34" t="str">
        <f t="shared" si="7"/>
        <v/>
      </c>
      <c r="AD19" s="34" t="str">
        <f t="shared" si="7"/>
        <v/>
      </c>
      <c r="AE19" s="34" t="str">
        <f t="shared" si="7"/>
        <v/>
      </c>
      <c r="AF19" s="34"/>
      <c r="AG19" s="34"/>
      <c r="AH19" s="34" t="str">
        <f t="shared" si="7"/>
        <v/>
      </c>
      <c r="AI19" s="34" t="str">
        <f t="shared" si="7"/>
        <v/>
      </c>
      <c r="AJ19" s="34" t="str">
        <f t="shared" si="7"/>
        <v/>
      </c>
      <c r="AK19" s="34" t="str">
        <f t="shared" si="7"/>
        <v/>
      </c>
      <c r="AL19" s="34" t="str">
        <f t="shared" si="7"/>
        <v/>
      </c>
      <c r="AM19" s="34"/>
      <c r="AN19" s="34"/>
      <c r="AO19" s="34" t="str">
        <f t="shared" si="8"/>
        <v/>
      </c>
      <c r="AP19" s="34" t="str">
        <f t="shared" si="8"/>
        <v/>
      </c>
      <c r="AQ19" s="34" t="str">
        <f t="shared" si="8"/>
        <v/>
      </c>
      <c r="AR19" s="34" t="str">
        <f t="shared" si="8"/>
        <v/>
      </c>
      <c r="AS19" s="34" t="str">
        <f t="shared" si="8"/>
        <v/>
      </c>
      <c r="AT19" s="34"/>
      <c r="AU19" s="34"/>
      <c r="AV19" s="34" t="str">
        <f t="shared" si="8"/>
        <v/>
      </c>
      <c r="AW19" s="34" t="str">
        <f t="shared" si="9"/>
        <v/>
      </c>
      <c r="AX19" s="34" t="str">
        <f t="shared" si="9"/>
        <v/>
      </c>
      <c r="AY19" s="34" t="str">
        <f t="shared" si="9"/>
        <v/>
      </c>
      <c r="AZ19" s="34" t="str">
        <f t="shared" si="9"/>
        <v/>
      </c>
      <c r="BA19" s="34"/>
      <c r="BB19" s="34"/>
      <c r="BC19" s="34" t="str">
        <f t="shared" si="9"/>
        <v/>
      </c>
      <c r="BD19" s="34" t="str">
        <f t="shared" si="9"/>
        <v/>
      </c>
      <c r="BE19" s="34" t="str">
        <f t="shared" si="9"/>
        <v/>
      </c>
      <c r="BF19" s="34" t="str">
        <f t="shared" si="9"/>
        <v/>
      </c>
      <c r="BG19" s="34" t="str">
        <f t="shared" si="10"/>
        <v/>
      </c>
      <c r="BH19" s="34"/>
      <c r="BI19" s="34"/>
      <c r="BJ19" s="34"/>
      <c r="BK19" s="34"/>
      <c r="BL19" s="34"/>
      <c r="BM19" s="34"/>
      <c r="BN19" s="34"/>
      <c r="BO19" s="34"/>
      <c r="BP19" s="34"/>
    </row>
    <row r="20" spans="2:68" outlineLevel="1" x14ac:dyDescent="0.25">
      <c r="B20" s="32">
        <f t="shared" si="13"/>
        <v>11</v>
      </c>
      <c r="C20" s="33" t="s">
        <v>6</v>
      </c>
      <c r="D20" s="34" t="s">
        <v>41</v>
      </c>
      <c r="E20" s="34"/>
      <c r="F20" s="40"/>
      <c r="G20" s="33"/>
      <c r="H20" s="35">
        <f t="shared" si="12"/>
        <v>45849</v>
      </c>
      <c r="I20" s="35" cm="1">
        <f t="array" ref="I20">IF(G20&lt;&gt;"",WORKDAY(Start,Duration-1),IF(Type="M",WORKDAY(Start,Duration-1),""))</f>
        <v>45849</v>
      </c>
      <c r="J20" s="44"/>
      <c r="K20" s="47"/>
      <c r="L20" s="34"/>
      <c r="M20" s="36" t="str">
        <f t="shared" si="14"/>
        <v/>
      </c>
      <c r="N20" s="34" t="str">
        <f t="shared" si="14"/>
        <v/>
      </c>
      <c r="O20" s="34" t="str">
        <f t="shared" si="14"/>
        <v/>
      </c>
      <c r="P20" s="34" t="str">
        <f t="shared" si="14"/>
        <v/>
      </c>
      <c r="Q20" s="34" t="str">
        <f t="shared" si="14"/>
        <v/>
      </c>
      <c r="R20" s="34"/>
      <c r="S20" s="34"/>
      <c r="T20" s="34" t="str">
        <f t="shared" si="6"/>
        <v/>
      </c>
      <c r="U20" s="34" t="str">
        <f t="shared" si="6"/>
        <v/>
      </c>
      <c r="V20" s="34" t="str">
        <f t="shared" si="6"/>
        <v/>
      </c>
      <c r="W20" s="34" t="str">
        <f t="shared" si="6"/>
        <v/>
      </c>
      <c r="X20" s="34" t="str">
        <f t="shared" si="6"/>
        <v/>
      </c>
      <c r="Y20" s="34"/>
      <c r="Z20" s="34"/>
      <c r="AA20" s="34" t="str">
        <f t="shared" si="15"/>
        <v/>
      </c>
      <c r="AB20" s="34" t="str">
        <f t="shared" si="15"/>
        <v/>
      </c>
      <c r="AC20" s="34" t="str">
        <f t="shared" si="7"/>
        <v/>
      </c>
      <c r="AD20" s="34" t="str">
        <f t="shared" si="7"/>
        <v/>
      </c>
      <c r="AE20" s="34" t="str">
        <f t="shared" si="7"/>
        <v/>
      </c>
      <c r="AF20" s="34"/>
      <c r="AG20" s="34"/>
      <c r="AH20" s="34" t="str">
        <f t="shared" si="7"/>
        <v/>
      </c>
      <c r="AI20" s="34" t="str">
        <f t="shared" si="7"/>
        <v/>
      </c>
      <c r="AJ20" s="34" t="str">
        <f t="shared" si="7"/>
        <v/>
      </c>
      <c r="AK20" s="34" t="str">
        <f t="shared" si="7"/>
        <v/>
      </c>
      <c r="AL20" s="34" t="str">
        <f t="shared" si="7"/>
        <v/>
      </c>
      <c r="AM20" s="34"/>
      <c r="AN20" s="34"/>
      <c r="AO20" s="34" t="str">
        <f t="shared" si="8"/>
        <v/>
      </c>
      <c r="AP20" s="34" t="str">
        <f t="shared" si="8"/>
        <v/>
      </c>
      <c r="AQ20" s="34" t="str">
        <f t="shared" si="8"/>
        <v/>
      </c>
      <c r="AR20" s="34" t="str">
        <f t="shared" si="8"/>
        <v/>
      </c>
      <c r="AS20" s="34" t="str">
        <f t="shared" si="8"/>
        <v/>
      </c>
      <c r="AT20" s="34"/>
      <c r="AU20" s="34"/>
      <c r="AV20" s="34" t="str">
        <f t="shared" si="8"/>
        <v/>
      </c>
      <c r="AW20" s="34" t="str">
        <f t="shared" si="9"/>
        <v/>
      </c>
      <c r="AX20" s="34" t="str">
        <f t="shared" si="9"/>
        <v/>
      </c>
      <c r="AY20" s="34" t="str">
        <f t="shared" si="9"/>
        <v/>
      </c>
      <c r="AZ20" s="34" t="str">
        <f t="shared" si="9"/>
        <v/>
      </c>
      <c r="BA20" s="34"/>
      <c r="BB20" s="34"/>
      <c r="BC20" s="34" t="str">
        <f t="shared" si="9"/>
        <v/>
      </c>
      <c r="BD20" s="34" t="str">
        <f t="shared" si="9"/>
        <v/>
      </c>
      <c r="BE20" s="34" t="str">
        <f t="shared" si="9"/>
        <v/>
      </c>
      <c r="BF20" s="34" t="str">
        <f t="shared" si="9"/>
        <v/>
      </c>
      <c r="BG20" s="34" t="str">
        <f t="shared" si="10"/>
        <v>◆</v>
      </c>
      <c r="BH20" s="34"/>
      <c r="BI20" s="34"/>
      <c r="BJ20" s="34"/>
      <c r="BK20" s="34"/>
      <c r="BL20" s="34"/>
      <c r="BM20" s="34"/>
      <c r="BN20" s="34"/>
      <c r="BO20" s="34"/>
      <c r="BP20" s="34"/>
    </row>
    <row r="21" spans="2:68" x14ac:dyDescent="0.25">
      <c r="B21" s="32">
        <f t="shared" si="13"/>
        <v>12</v>
      </c>
      <c r="C21" s="33" t="s">
        <v>1</v>
      </c>
      <c r="D21" s="37" t="s">
        <v>502</v>
      </c>
      <c r="E21" s="37"/>
      <c r="F21" s="41"/>
      <c r="G21" s="33">
        <f>SUM(G22:G35)</f>
        <v>37</v>
      </c>
      <c r="H21" s="35">
        <f t="shared" si="12"/>
        <v>45852</v>
      </c>
      <c r="I21" s="35" cm="1">
        <f t="array" ref="I21">IF(G21&lt;&gt;"",WORKDAY(Start,Duration-1),IF(Type="M",WORKDAY(Start,Duration-1),""))</f>
        <v>45902</v>
      </c>
      <c r="J21" s="43" cm="1">
        <f t="array" ref="J21">SUM(J22:J34*G22:G34)/SUM(G22:G34)</f>
        <v>0</v>
      </c>
      <c r="K21" s="46"/>
      <c r="L21" s="34"/>
      <c r="M21" s="36" t="str">
        <f t="shared" si="14"/>
        <v/>
      </c>
      <c r="N21" s="34" t="str">
        <f t="shared" si="14"/>
        <v/>
      </c>
      <c r="O21" s="34" t="str">
        <f t="shared" si="14"/>
        <v/>
      </c>
      <c r="P21" s="34" t="str">
        <f t="shared" si="14"/>
        <v/>
      </c>
      <c r="Q21" s="34" t="str">
        <f t="shared" si="14"/>
        <v/>
      </c>
      <c r="R21" s="34" t="str">
        <f t="shared" si="6"/>
        <v/>
      </c>
      <c r="S21" s="34" t="str">
        <f t="shared" si="6"/>
        <v/>
      </c>
      <c r="T21" s="34" t="str">
        <f t="shared" si="6"/>
        <v/>
      </c>
      <c r="U21" s="34" t="str">
        <f t="shared" si="6"/>
        <v/>
      </c>
      <c r="V21" s="34" t="str">
        <f t="shared" si="6"/>
        <v/>
      </c>
      <c r="W21" s="34" t="str">
        <f t="shared" si="6"/>
        <v/>
      </c>
      <c r="X21" s="34" t="str">
        <f t="shared" si="6"/>
        <v/>
      </c>
      <c r="Y21" s="34" t="str">
        <f t="shared" si="7"/>
        <v/>
      </c>
      <c r="Z21" s="34" t="str">
        <f t="shared" si="7"/>
        <v/>
      </c>
      <c r="AA21" s="34" t="str">
        <f t="shared" si="15"/>
        <v/>
      </c>
      <c r="AB21" s="34" t="str">
        <f t="shared" si="15"/>
        <v/>
      </c>
      <c r="AC21" s="34" t="str">
        <f t="shared" si="7"/>
        <v/>
      </c>
      <c r="AD21" s="34" t="str">
        <f t="shared" si="7"/>
        <v/>
      </c>
      <c r="AE21" s="34" t="str">
        <f t="shared" si="7"/>
        <v/>
      </c>
      <c r="AF21" s="34" t="str">
        <f t="shared" si="7"/>
        <v/>
      </c>
      <c r="AG21" s="34" t="str">
        <f t="shared" si="8"/>
        <v/>
      </c>
      <c r="AH21" s="34" t="str">
        <f t="shared" si="7"/>
        <v/>
      </c>
      <c r="AI21" s="34" t="str">
        <f t="shared" si="7"/>
        <v/>
      </c>
      <c r="AJ21" s="34" t="str">
        <f t="shared" si="7"/>
        <v/>
      </c>
      <c r="AK21" s="34" t="str">
        <f t="shared" si="7"/>
        <v/>
      </c>
      <c r="AL21" s="34" t="str">
        <f t="shared" si="7"/>
        <v/>
      </c>
      <c r="AM21" s="34" t="str">
        <f t="shared" si="8"/>
        <v/>
      </c>
      <c r="AN21" s="34" t="str">
        <f t="shared" si="8"/>
        <v/>
      </c>
      <c r="AO21" s="34" t="str">
        <f t="shared" si="8"/>
        <v/>
      </c>
      <c r="AP21" s="34" t="str">
        <f t="shared" si="8"/>
        <v/>
      </c>
      <c r="AQ21" s="34" t="str">
        <f t="shared" si="8"/>
        <v/>
      </c>
      <c r="AR21" s="34" t="str">
        <f t="shared" si="8"/>
        <v/>
      </c>
      <c r="AS21" s="34" t="str">
        <f t="shared" si="8"/>
        <v/>
      </c>
      <c r="AT21" s="34" t="str">
        <f t="shared" si="9"/>
        <v/>
      </c>
      <c r="AU21" s="34" t="str">
        <f t="shared" si="9"/>
        <v/>
      </c>
      <c r="AV21" s="34" t="str">
        <f t="shared" si="8"/>
        <v/>
      </c>
      <c r="AW21" s="34" t="str">
        <f t="shared" si="9"/>
        <v/>
      </c>
      <c r="AX21" s="34" t="str">
        <f t="shared" si="9"/>
        <v/>
      </c>
      <c r="AY21" s="34" t="str">
        <f t="shared" si="9"/>
        <v/>
      </c>
      <c r="AZ21" s="34" t="str">
        <f t="shared" si="9"/>
        <v/>
      </c>
      <c r="BA21" s="34" t="str">
        <f t="shared" si="10"/>
        <v/>
      </c>
      <c r="BB21" s="34" t="str">
        <f t="shared" si="10"/>
        <v/>
      </c>
      <c r="BC21" s="34" t="str">
        <f t="shared" si="9"/>
        <v/>
      </c>
      <c r="BD21" s="34" t="str">
        <f t="shared" si="9"/>
        <v/>
      </c>
      <c r="BE21" s="34" t="str">
        <f t="shared" si="9"/>
        <v/>
      </c>
      <c r="BF21" s="34" t="str">
        <f t="shared" si="9"/>
        <v/>
      </c>
      <c r="BG21" s="34" t="str">
        <f t="shared" si="10"/>
        <v/>
      </c>
      <c r="BH21" s="34" t="str">
        <f t="shared" si="10"/>
        <v/>
      </c>
      <c r="BI21" s="34" t="str">
        <f t="shared" si="10"/>
        <v/>
      </c>
      <c r="BJ21" s="34" t="str">
        <f t="shared" si="10"/>
        <v/>
      </c>
      <c r="BK21" s="34" t="str">
        <f t="shared" si="11"/>
        <v/>
      </c>
      <c r="BL21" s="34" t="str">
        <f t="shared" si="11"/>
        <v/>
      </c>
      <c r="BM21" s="34" t="str">
        <f t="shared" si="11"/>
        <v/>
      </c>
      <c r="BN21" s="34" t="str">
        <f t="shared" si="11"/>
        <v/>
      </c>
      <c r="BO21" s="34" t="str">
        <f t="shared" si="11"/>
        <v/>
      </c>
      <c r="BP21" s="34" t="str">
        <f t="shared" si="11"/>
        <v/>
      </c>
    </row>
    <row r="22" spans="2:68" outlineLevel="1" x14ac:dyDescent="0.25">
      <c r="B22" s="32">
        <f>B21+1</f>
        <v>13</v>
      </c>
      <c r="C22" s="33" t="s">
        <v>5</v>
      </c>
      <c r="D22" s="34" t="s">
        <v>518</v>
      </c>
      <c r="E22" s="37"/>
      <c r="F22" s="41"/>
      <c r="G22" s="33">
        <v>5</v>
      </c>
      <c r="H22" s="35">
        <f>H21</f>
        <v>45852</v>
      </c>
      <c r="I22" s="35" cm="1">
        <f t="array" ref="I22">IF(G22&lt;&gt;"",WORKDAY(Start,Duration-1),IF(Type="M",WORKDAY(Start,Duration-1),""))</f>
        <v>45856</v>
      </c>
      <c r="J22" s="43"/>
      <c r="K22" s="47" t="s">
        <v>415</v>
      </c>
      <c r="L22" s="34"/>
      <c r="M22" s="36" t="str">
        <f t="shared" si="14"/>
        <v/>
      </c>
      <c r="N22" s="34" t="str">
        <f t="shared" si="14"/>
        <v/>
      </c>
      <c r="O22" s="34" t="str">
        <f t="shared" si="14"/>
        <v/>
      </c>
      <c r="P22" s="34" t="str">
        <f t="shared" si="14"/>
        <v/>
      </c>
      <c r="Q22" s="34" t="str">
        <f t="shared" si="14"/>
        <v/>
      </c>
      <c r="R22" s="34"/>
      <c r="S22" s="34"/>
      <c r="T22" s="34" t="str">
        <f t="shared" si="6"/>
        <v/>
      </c>
      <c r="U22" s="34" t="str">
        <f t="shared" si="6"/>
        <v/>
      </c>
      <c r="V22" s="34" t="str">
        <f t="shared" si="6"/>
        <v/>
      </c>
      <c r="W22" s="34" t="str">
        <f t="shared" si="6"/>
        <v/>
      </c>
      <c r="X22" s="34" t="str">
        <f t="shared" si="6"/>
        <v/>
      </c>
      <c r="Y22" s="34"/>
      <c r="Z22" s="34"/>
      <c r="AA22" s="34" t="str">
        <f t="shared" si="15"/>
        <v/>
      </c>
      <c r="AB22" s="34" t="str">
        <f t="shared" si="15"/>
        <v/>
      </c>
      <c r="AC22" s="34" t="str">
        <f t="shared" si="7"/>
        <v/>
      </c>
      <c r="AD22" s="34" t="str">
        <f t="shared" si="7"/>
        <v/>
      </c>
      <c r="AE22" s="34" t="str">
        <f t="shared" si="7"/>
        <v/>
      </c>
      <c r="AF22" s="34"/>
      <c r="AG22" s="34"/>
      <c r="AH22" s="34" t="str">
        <f t="shared" si="7"/>
        <v/>
      </c>
      <c r="AI22" s="34" t="str">
        <f t="shared" si="7"/>
        <v/>
      </c>
      <c r="AJ22" s="34" t="str">
        <f t="shared" si="7"/>
        <v/>
      </c>
      <c r="AK22" s="34" t="str">
        <f t="shared" si="7"/>
        <v/>
      </c>
      <c r="AL22" s="34" t="str">
        <f t="shared" si="7"/>
        <v/>
      </c>
      <c r="AM22" s="34"/>
      <c r="AN22" s="34"/>
      <c r="AO22" s="34" t="str">
        <f t="shared" si="8"/>
        <v/>
      </c>
      <c r="AP22" s="34" t="str">
        <f t="shared" si="8"/>
        <v/>
      </c>
      <c r="AQ22" s="34" t="str">
        <f t="shared" si="8"/>
        <v/>
      </c>
      <c r="AR22" s="34" t="str">
        <f t="shared" si="8"/>
        <v/>
      </c>
      <c r="AS22" s="34" t="str">
        <f t="shared" si="8"/>
        <v/>
      </c>
      <c r="AT22" s="34"/>
      <c r="AU22" s="34"/>
      <c r="AV22" s="34" t="str">
        <f t="shared" si="8"/>
        <v/>
      </c>
      <c r="AW22" s="34" t="str">
        <f t="shared" si="9"/>
        <v/>
      </c>
      <c r="AX22" s="34" t="str">
        <f t="shared" si="9"/>
        <v/>
      </c>
      <c r="AY22" s="34" t="str">
        <f t="shared" si="9"/>
        <v/>
      </c>
      <c r="AZ22" s="34" t="str">
        <f t="shared" si="9"/>
        <v/>
      </c>
      <c r="BA22" s="34"/>
      <c r="BB22" s="34"/>
      <c r="BC22" s="34" t="str">
        <f t="shared" si="9"/>
        <v/>
      </c>
      <c r="BD22" s="34" t="str">
        <f t="shared" si="9"/>
        <v/>
      </c>
      <c r="BE22" s="34" t="str">
        <f t="shared" si="9"/>
        <v/>
      </c>
      <c r="BF22" s="34" t="str">
        <f t="shared" si="9"/>
        <v/>
      </c>
      <c r="BG22" s="34" t="str">
        <f t="shared" si="10"/>
        <v/>
      </c>
      <c r="BH22" s="34"/>
      <c r="BI22" s="34"/>
      <c r="BJ22" s="34"/>
      <c r="BK22" s="34"/>
      <c r="BL22" s="34"/>
      <c r="BM22" s="34"/>
      <c r="BN22" s="34"/>
      <c r="BO22" s="34"/>
      <c r="BP22" s="34"/>
    </row>
    <row r="23" spans="2:68" outlineLevel="1" x14ac:dyDescent="0.25">
      <c r="B23" s="32">
        <v>14</v>
      </c>
      <c r="C23" s="33" t="s">
        <v>5</v>
      </c>
      <c r="D23" s="34" t="s">
        <v>678</v>
      </c>
      <c r="E23" s="37"/>
      <c r="F23" s="41"/>
      <c r="G23" s="33">
        <v>5</v>
      </c>
      <c r="H23" s="35">
        <f t="shared" ref="H23:H36" si="16">IF(Type&lt;&gt;"M",WORKDAY(I22,1),I22)</f>
        <v>45859</v>
      </c>
      <c r="I23" s="35" cm="1">
        <f t="array" ref="I23">IF(G23&lt;&gt;"",WORKDAY(Start,Duration-1),IF(Type="M",WORKDAY(Start,Duration-1),""))</f>
        <v>45863</v>
      </c>
      <c r="J23" s="43"/>
      <c r="K23" s="47" t="s">
        <v>88</v>
      </c>
      <c r="L23" s="34"/>
      <c r="M23" s="36" t="str">
        <f t="shared" si="14"/>
        <v/>
      </c>
      <c r="N23" s="34" t="str">
        <f t="shared" si="14"/>
        <v/>
      </c>
      <c r="O23" s="34" t="str">
        <f t="shared" si="14"/>
        <v/>
      </c>
      <c r="P23" s="34" t="str">
        <f t="shared" si="14"/>
        <v/>
      </c>
      <c r="Q23" s="34" t="str">
        <f t="shared" si="14"/>
        <v/>
      </c>
      <c r="R23" s="34"/>
      <c r="S23" s="34"/>
      <c r="T23" s="34" t="str">
        <f t="shared" si="6"/>
        <v/>
      </c>
      <c r="U23" s="34" t="str">
        <f t="shared" si="6"/>
        <v/>
      </c>
      <c r="V23" s="34" t="str">
        <f t="shared" si="6"/>
        <v/>
      </c>
      <c r="W23" s="34" t="str">
        <f t="shared" si="6"/>
        <v/>
      </c>
      <c r="X23" s="34" t="str">
        <f t="shared" si="6"/>
        <v/>
      </c>
      <c r="Y23" s="34"/>
      <c r="Z23" s="34"/>
      <c r="AA23" s="34" t="str">
        <f t="shared" si="15"/>
        <v/>
      </c>
      <c r="AB23" s="34" t="str">
        <f t="shared" si="15"/>
        <v/>
      </c>
      <c r="AC23" s="34" t="str">
        <f t="shared" si="7"/>
        <v/>
      </c>
      <c r="AD23" s="34" t="str">
        <f t="shared" si="7"/>
        <v/>
      </c>
      <c r="AE23" s="34" t="str">
        <f t="shared" si="7"/>
        <v/>
      </c>
      <c r="AF23" s="34"/>
      <c r="AG23" s="34"/>
      <c r="AH23" s="34" t="str">
        <f t="shared" si="7"/>
        <v/>
      </c>
      <c r="AI23" s="34" t="str">
        <f t="shared" si="7"/>
        <v/>
      </c>
      <c r="AJ23" s="34" t="str">
        <f t="shared" si="7"/>
        <v/>
      </c>
      <c r="AK23" s="34" t="str">
        <f t="shared" si="7"/>
        <v/>
      </c>
      <c r="AL23" s="34" t="str">
        <f t="shared" si="7"/>
        <v/>
      </c>
      <c r="AM23" s="34"/>
      <c r="AN23" s="34"/>
      <c r="AO23" s="34" t="str">
        <f t="shared" si="8"/>
        <v/>
      </c>
      <c r="AP23" s="34" t="str">
        <f t="shared" si="8"/>
        <v/>
      </c>
      <c r="AQ23" s="34" t="str">
        <f t="shared" si="8"/>
        <v/>
      </c>
      <c r="AR23" s="34" t="str">
        <f t="shared" si="8"/>
        <v/>
      </c>
      <c r="AS23" s="34" t="str">
        <f t="shared" si="8"/>
        <v/>
      </c>
      <c r="AT23" s="34"/>
      <c r="AU23" s="34"/>
      <c r="AV23" s="34" t="str">
        <f t="shared" si="8"/>
        <v/>
      </c>
      <c r="AW23" s="34" t="str">
        <f t="shared" si="9"/>
        <v/>
      </c>
      <c r="AX23" s="34" t="str">
        <f t="shared" si="9"/>
        <v/>
      </c>
      <c r="AY23" s="34" t="str">
        <f t="shared" si="9"/>
        <v/>
      </c>
      <c r="AZ23" s="34" t="str">
        <f t="shared" si="9"/>
        <v/>
      </c>
      <c r="BA23" s="34"/>
      <c r="BB23" s="34"/>
      <c r="BC23" s="34" t="str">
        <f t="shared" si="9"/>
        <v/>
      </c>
      <c r="BD23" s="34" t="str">
        <f t="shared" si="9"/>
        <v/>
      </c>
      <c r="BE23" s="34" t="str">
        <f t="shared" si="9"/>
        <v/>
      </c>
      <c r="BF23" s="34" t="str">
        <f t="shared" si="9"/>
        <v/>
      </c>
      <c r="BG23" s="34" t="str">
        <f t="shared" si="10"/>
        <v/>
      </c>
      <c r="BH23" s="34"/>
      <c r="BI23" s="34"/>
      <c r="BJ23" s="34"/>
      <c r="BK23" s="34"/>
      <c r="BL23" s="34"/>
      <c r="BM23" s="34"/>
      <c r="BN23" s="34"/>
      <c r="BO23" s="34"/>
      <c r="BP23" s="34"/>
    </row>
    <row r="24" spans="2:68" outlineLevel="1" x14ac:dyDescent="0.25">
      <c r="B24" s="32">
        <f>B23+1</f>
        <v>15</v>
      </c>
      <c r="C24" s="33" t="s">
        <v>5</v>
      </c>
      <c r="D24" s="34" t="s">
        <v>2</v>
      </c>
      <c r="E24" s="37"/>
      <c r="F24" s="41"/>
      <c r="G24" s="33">
        <v>5</v>
      </c>
      <c r="H24" s="35">
        <f t="shared" si="16"/>
        <v>45866</v>
      </c>
      <c r="I24" s="35" cm="1">
        <f t="array" ref="I24">IF(G24&lt;&gt;"",WORKDAY(Start,Duration-1),IF(Type="M",WORKDAY(Start,Duration-1),""))</f>
        <v>45870</v>
      </c>
      <c r="J24" s="43"/>
      <c r="K24" s="47" t="s">
        <v>88</v>
      </c>
      <c r="L24" s="34" t="s">
        <v>445</v>
      </c>
      <c r="M24" s="36" t="str">
        <f t="shared" si="14"/>
        <v/>
      </c>
      <c r="N24" s="34" t="str">
        <f t="shared" si="14"/>
        <v/>
      </c>
      <c r="O24" s="34" t="str">
        <f t="shared" si="14"/>
        <v/>
      </c>
      <c r="P24" s="34" t="str">
        <f t="shared" si="14"/>
        <v/>
      </c>
      <c r="Q24" s="34" t="str">
        <f t="shared" si="14"/>
        <v/>
      </c>
      <c r="R24" s="34"/>
      <c r="S24" s="34"/>
      <c r="T24" s="34" t="str">
        <f t="shared" si="6"/>
        <v/>
      </c>
      <c r="U24" s="34" t="str">
        <f t="shared" si="6"/>
        <v/>
      </c>
      <c r="V24" s="34" t="str">
        <f t="shared" si="6"/>
        <v/>
      </c>
      <c r="W24" s="34" t="str">
        <f t="shared" si="6"/>
        <v/>
      </c>
      <c r="X24" s="34" t="str">
        <f t="shared" si="6"/>
        <v/>
      </c>
      <c r="Y24" s="34"/>
      <c r="Z24" s="34"/>
      <c r="AA24" s="34" t="str">
        <f t="shared" si="15"/>
        <v/>
      </c>
      <c r="AB24" s="34" t="str">
        <f t="shared" si="15"/>
        <v/>
      </c>
      <c r="AC24" s="34" t="str">
        <f t="shared" si="7"/>
        <v/>
      </c>
      <c r="AD24" s="34" t="str">
        <f t="shared" si="7"/>
        <v/>
      </c>
      <c r="AE24" s="34" t="str">
        <f t="shared" si="7"/>
        <v/>
      </c>
      <c r="AF24" s="34"/>
      <c r="AG24" s="34"/>
      <c r="AH24" s="34" t="str">
        <f t="shared" si="7"/>
        <v/>
      </c>
      <c r="AI24" s="34" t="str">
        <f t="shared" si="7"/>
        <v/>
      </c>
      <c r="AJ24" s="34" t="str">
        <f t="shared" si="7"/>
        <v/>
      </c>
      <c r="AK24" s="34" t="str">
        <f t="shared" si="7"/>
        <v/>
      </c>
      <c r="AL24" s="34" t="str">
        <f t="shared" si="7"/>
        <v/>
      </c>
      <c r="AM24" s="34"/>
      <c r="AN24" s="34"/>
      <c r="AO24" s="34" t="str">
        <f t="shared" si="8"/>
        <v/>
      </c>
      <c r="AP24" s="34" t="str">
        <f t="shared" si="8"/>
        <v/>
      </c>
      <c r="AQ24" s="34" t="str">
        <f t="shared" si="8"/>
        <v/>
      </c>
      <c r="AR24" s="34" t="str">
        <f t="shared" si="8"/>
        <v/>
      </c>
      <c r="AS24" s="34" t="str">
        <f t="shared" si="8"/>
        <v/>
      </c>
      <c r="AT24" s="34"/>
      <c r="AU24" s="34"/>
      <c r="AV24" s="34" t="str">
        <f t="shared" si="8"/>
        <v/>
      </c>
      <c r="AW24" s="34" t="str">
        <f t="shared" si="9"/>
        <v/>
      </c>
      <c r="AX24" s="34" t="str">
        <f t="shared" si="9"/>
        <v/>
      </c>
      <c r="AY24" s="34" t="str">
        <f t="shared" si="9"/>
        <v/>
      </c>
      <c r="AZ24" s="34" t="str">
        <f t="shared" si="9"/>
        <v/>
      </c>
      <c r="BA24" s="34"/>
      <c r="BB24" s="34"/>
      <c r="BC24" s="34" t="str">
        <f t="shared" si="9"/>
        <v/>
      </c>
      <c r="BD24" s="34" t="str">
        <f t="shared" si="9"/>
        <v/>
      </c>
      <c r="BE24" s="34" t="str">
        <f t="shared" si="9"/>
        <v/>
      </c>
      <c r="BF24" s="34" t="str">
        <f t="shared" si="9"/>
        <v/>
      </c>
      <c r="BG24" s="34" t="str">
        <f t="shared" si="10"/>
        <v/>
      </c>
      <c r="BH24" s="34"/>
      <c r="BI24" s="34"/>
      <c r="BJ24" s="34"/>
      <c r="BK24" s="34"/>
      <c r="BL24" s="34"/>
      <c r="BM24" s="34"/>
      <c r="BN24" s="34"/>
      <c r="BO24" s="34"/>
      <c r="BP24" s="34"/>
    </row>
    <row r="25" spans="2:68" outlineLevel="1" x14ac:dyDescent="0.25">
      <c r="B25" s="32">
        <v>16</v>
      </c>
      <c r="C25" s="33" t="s">
        <v>5</v>
      </c>
      <c r="D25" s="34" t="s">
        <v>679</v>
      </c>
      <c r="E25" s="37"/>
      <c r="F25" s="41"/>
      <c r="G25" s="33"/>
      <c r="H25" s="35"/>
      <c r="I25" s="35"/>
      <c r="J25" s="43"/>
      <c r="K25" s="47" t="s">
        <v>88</v>
      </c>
      <c r="L25" s="34"/>
      <c r="M25" s="36"/>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row>
    <row r="26" spans="2:68" outlineLevel="1" x14ac:dyDescent="0.25">
      <c r="B26" s="32">
        <f>B25+1</f>
        <v>17</v>
      </c>
      <c r="C26" s="33" t="s">
        <v>5</v>
      </c>
      <c r="D26" s="34" t="s">
        <v>3</v>
      </c>
      <c r="E26" s="37"/>
      <c r="F26" s="41"/>
      <c r="G26" s="33">
        <v>5</v>
      </c>
      <c r="H26" s="35">
        <f>IF(Type&lt;&gt;"M",WORKDAY(I24,1),I24)</f>
        <v>45873</v>
      </c>
      <c r="I26" s="35" cm="1">
        <f t="array" ref="I26">IF(G26&lt;&gt;"",WORKDAY(Start,Duration-1),IF(Type="M",WORKDAY(Start,Duration-1),""))</f>
        <v>45877</v>
      </c>
      <c r="J26" s="43"/>
      <c r="K26" s="47" t="s">
        <v>88</v>
      </c>
      <c r="L26" s="34" t="s">
        <v>446</v>
      </c>
      <c r="M26" s="36" t="str">
        <f t="shared" si="14"/>
        <v/>
      </c>
      <c r="N26" s="34" t="str">
        <f t="shared" si="14"/>
        <v/>
      </c>
      <c r="O26" s="34" t="str">
        <f t="shared" si="14"/>
        <v/>
      </c>
      <c r="P26" s="34" t="str">
        <f t="shared" si="14"/>
        <v/>
      </c>
      <c r="Q26" s="34" t="str">
        <f t="shared" si="14"/>
        <v/>
      </c>
      <c r="R26" s="34"/>
      <c r="S26" s="34"/>
      <c r="T26" s="34" t="str">
        <f t="shared" si="6"/>
        <v/>
      </c>
      <c r="U26" s="34" t="str">
        <f t="shared" si="6"/>
        <v/>
      </c>
      <c r="V26" s="34" t="str">
        <f t="shared" si="6"/>
        <v/>
      </c>
      <c r="W26" s="34" t="str">
        <f t="shared" si="6"/>
        <v/>
      </c>
      <c r="X26" s="34" t="str">
        <f t="shared" si="6"/>
        <v/>
      </c>
      <c r="Y26" s="34"/>
      <c r="Z26" s="34"/>
      <c r="AA26" s="34" t="str">
        <f t="shared" si="15"/>
        <v/>
      </c>
      <c r="AB26" s="34" t="str">
        <f t="shared" si="15"/>
        <v/>
      </c>
      <c r="AC26" s="34" t="str">
        <f t="shared" si="7"/>
        <v/>
      </c>
      <c r="AD26" s="34" t="str">
        <f t="shared" si="7"/>
        <v/>
      </c>
      <c r="AE26" s="34" t="str">
        <f t="shared" si="7"/>
        <v/>
      </c>
      <c r="AF26" s="34"/>
      <c r="AG26" s="34"/>
      <c r="AH26" s="34" t="str">
        <f t="shared" si="7"/>
        <v/>
      </c>
      <c r="AI26" s="34" t="str">
        <f t="shared" si="7"/>
        <v/>
      </c>
      <c r="AJ26" s="34" t="str">
        <f t="shared" si="7"/>
        <v/>
      </c>
      <c r="AK26" s="34" t="str">
        <f t="shared" si="7"/>
        <v/>
      </c>
      <c r="AL26" s="34" t="str">
        <f t="shared" si="7"/>
        <v/>
      </c>
      <c r="AM26" s="34"/>
      <c r="AN26" s="34"/>
      <c r="AO26" s="34" t="str">
        <f t="shared" si="8"/>
        <v/>
      </c>
      <c r="AP26" s="34" t="str">
        <f t="shared" si="8"/>
        <v/>
      </c>
      <c r="AQ26" s="34" t="str">
        <f t="shared" si="8"/>
        <v/>
      </c>
      <c r="AR26" s="34" t="str">
        <f t="shared" si="8"/>
        <v/>
      </c>
      <c r="AS26" s="34" t="str">
        <f t="shared" si="8"/>
        <v/>
      </c>
      <c r="AT26" s="34"/>
      <c r="AU26" s="34"/>
      <c r="AV26" s="34" t="str">
        <f t="shared" si="8"/>
        <v/>
      </c>
      <c r="AW26" s="34" t="str">
        <f t="shared" si="9"/>
        <v/>
      </c>
      <c r="AX26" s="34" t="str">
        <f t="shared" si="9"/>
        <v/>
      </c>
      <c r="AY26" s="34" t="str">
        <f t="shared" si="9"/>
        <v/>
      </c>
      <c r="AZ26" s="34" t="str">
        <f t="shared" si="9"/>
        <v/>
      </c>
      <c r="BA26" s="34"/>
      <c r="BB26" s="34"/>
      <c r="BC26" s="34" t="str">
        <f t="shared" si="9"/>
        <v/>
      </c>
      <c r="BD26" s="34" t="str">
        <f t="shared" si="9"/>
        <v/>
      </c>
      <c r="BE26" s="34" t="str">
        <f t="shared" si="9"/>
        <v/>
      </c>
      <c r="BF26" s="34" t="str">
        <f t="shared" si="9"/>
        <v/>
      </c>
      <c r="BG26" s="34" t="str">
        <f t="shared" si="10"/>
        <v/>
      </c>
      <c r="BH26" s="34"/>
      <c r="BI26" s="34"/>
      <c r="BJ26" s="34"/>
      <c r="BK26" s="34"/>
      <c r="BL26" s="34"/>
      <c r="BM26" s="34"/>
      <c r="BN26" s="34"/>
      <c r="BO26" s="34"/>
      <c r="BP26" s="34"/>
    </row>
    <row r="27" spans="2:68" outlineLevel="1" x14ac:dyDescent="0.25">
      <c r="B27" s="32">
        <v>18</v>
      </c>
      <c r="C27" s="33" t="s">
        <v>5</v>
      </c>
      <c r="D27" s="34" t="s">
        <v>7</v>
      </c>
      <c r="E27" s="34"/>
      <c r="F27" s="40"/>
      <c r="G27" s="33">
        <v>3</v>
      </c>
      <c r="H27" s="35">
        <f t="shared" si="16"/>
        <v>45880</v>
      </c>
      <c r="I27" s="35" cm="1">
        <f t="array" ref="I27">IF(G27&lt;&gt;"",WORKDAY(Start,Duration-1),IF(Type="M",WORKDAY(Start,Duration-1),""))</f>
        <v>45882</v>
      </c>
      <c r="J27" s="43"/>
      <c r="K27" s="47" t="s">
        <v>89</v>
      </c>
      <c r="L27" s="34"/>
      <c r="M27" s="36" t="str">
        <f t="shared" si="14"/>
        <v/>
      </c>
      <c r="N27" s="34" t="str">
        <f t="shared" si="14"/>
        <v/>
      </c>
      <c r="O27" s="34" t="str">
        <f t="shared" si="14"/>
        <v/>
      </c>
      <c r="P27" s="34" t="str">
        <f t="shared" si="14"/>
        <v/>
      </c>
      <c r="Q27" s="34" t="str">
        <f t="shared" si="14"/>
        <v/>
      </c>
      <c r="R27" s="34" t="str">
        <f t="shared" si="6"/>
        <v/>
      </c>
      <c r="S27" s="34" t="str">
        <f t="shared" si="6"/>
        <v/>
      </c>
      <c r="T27" s="34" t="str">
        <f t="shared" si="6"/>
        <v/>
      </c>
      <c r="U27" s="34" t="str">
        <f t="shared" si="6"/>
        <v/>
      </c>
      <c r="V27" s="34" t="str">
        <f t="shared" si="6"/>
        <v/>
      </c>
      <c r="W27" s="34" t="str">
        <f t="shared" si="6"/>
        <v/>
      </c>
      <c r="X27" s="34" t="str">
        <f t="shared" si="6"/>
        <v/>
      </c>
      <c r="Y27" s="34" t="str">
        <f t="shared" si="7"/>
        <v/>
      </c>
      <c r="Z27" s="34" t="str">
        <f t="shared" si="7"/>
        <v/>
      </c>
      <c r="AA27" s="34" t="str">
        <f t="shared" si="15"/>
        <v/>
      </c>
      <c r="AB27" s="34" t="str">
        <f t="shared" si="15"/>
        <v/>
      </c>
      <c r="AC27" s="34" t="str">
        <f t="shared" si="7"/>
        <v/>
      </c>
      <c r="AD27" s="34" t="str">
        <f t="shared" si="7"/>
        <v/>
      </c>
      <c r="AE27" s="34" t="str">
        <f t="shared" si="7"/>
        <v/>
      </c>
      <c r="AF27" s="34" t="str">
        <f t="shared" si="7"/>
        <v/>
      </c>
      <c r="AG27" s="34" t="str">
        <f t="shared" si="8"/>
        <v/>
      </c>
      <c r="AH27" s="34" t="str">
        <f t="shared" si="7"/>
        <v/>
      </c>
      <c r="AI27" s="34" t="str">
        <f t="shared" si="7"/>
        <v/>
      </c>
      <c r="AJ27" s="34" t="str">
        <f t="shared" si="7"/>
        <v/>
      </c>
      <c r="AK27" s="34" t="str">
        <f t="shared" si="7"/>
        <v/>
      </c>
      <c r="AL27" s="34" t="str">
        <f t="shared" si="7"/>
        <v/>
      </c>
      <c r="AM27" s="34" t="str">
        <f t="shared" si="8"/>
        <v/>
      </c>
      <c r="AN27" s="34" t="str">
        <f t="shared" si="8"/>
        <v/>
      </c>
      <c r="AO27" s="34" t="str">
        <f t="shared" si="8"/>
        <v/>
      </c>
      <c r="AP27" s="34" t="str">
        <f t="shared" si="8"/>
        <v/>
      </c>
      <c r="AQ27" s="34" t="str">
        <f t="shared" si="8"/>
        <v/>
      </c>
      <c r="AR27" s="34" t="str">
        <f t="shared" si="8"/>
        <v/>
      </c>
      <c r="AS27" s="34" t="str">
        <f t="shared" si="8"/>
        <v/>
      </c>
      <c r="AT27" s="34" t="str">
        <f t="shared" si="9"/>
        <v/>
      </c>
      <c r="AU27" s="34" t="str">
        <f t="shared" si="9"/>
        <v/>
      </c>
      <c r="AV27" s="34" t="str">
        <f t="shared" si="8"/>
        <v/>
      </c>
      <c r="AW27" s="34" t="str">
        <f t="shared" si="9"/>
        <v/>
      </c>
      <c r="AX27" s="34" t="str">
        <f t="shared" si="9"/>
        <v/>
      </c>
      <c r="AY27" s="34" t="str">
        <f t="shared" si="9"/>
        <v/>
      </c>
      <c r="AZ27" s="34" t="str">
        <f t="shared" si="9"/>
        <v/>
      </c>
      <c r="BA27" s="34" t="str">
        <f t="shared" si="10"/>
        <v/>
      </c>
      <c r="BB27" s="34" t="str">
        <f t="shared" si="10"/>
        <v/>
      </c>
      <c r="BC27" s="34" t="str">
        <f t="shared" si="9"/>
        <v/>
      </c>
      <c r="BD27" s="34" t="str">
        <f t="shared" si="9"/>
        <v/>
      </c>
      <c r="BE27" s="34" t="str">
        <f t="shared" si="9"/>
        <v/>
      </c>
      <c r="BF27" s="34" t="str">
        <f t="shared" si="9"/>
        <v/>
      </c>
      <c r="BG27" s="34" t="str">
        <f t="shared" si="10"/>
        <v/>
      </c>
      <c r="BH27" s="34" t="str">
        <f t="shared" si="10"/>
        <v/>
      </c>
      <c r="BI27" s="34" t="str">
        <f t="shared" si="10"/>
        <v/>
      </c>
      <c r="BJ27" s="34" t="str">
        <f t="shared" si="10"/>
        <v/>
      </c>
      <c r="BK27" s="34" t="str">
        <f t="shared" si="11"/>
        <v/>
      </c>
      <c r="BL27" s="34" t="str">
        <f t="shared" si="11"/>
        <v/>
      </c>
      <c r="BM27" s="34" t="str">
        <f t="shared" si="11"/>
        <v/>
      </c>
      <c r="BN27" s="34" t="str">
        <f t="shared" si="11"/>
        <v/>
      </c>
      <c r="BO27" s="34" t="str">
        <f t="shared" si="11"/>
        <v/>
      </c>
      <c r="BP27" s="34" t="str">
        <f t="shared" si="11"/>
        <v/>
      </c>
    </row>
    <row r="28" spans="2:68" outlineLevel="1" x14ac:dyDescent="0.25">
      <c r="B28" s="32">
        <f t="shared" si="13"/>
        <v>19</v>
      </c>
      <c r="C28" s="33" t="s">
        <v>5</v>
      </c>
      <c r="D28" s="34" t="s">
        <v>8</v>
      </c>
      <c r="E28" s="34"/>
      <c r="F28" s="40"/>
      <c r="G28" s="33">
        <v>3</v>
      </c>
      <c r="H28" s="35">
        <f t="shared" si="16"/>
        <v>45883</v>
      </c>
      <c r="I28" s="35" cm="1">
        <f t="array" ref="I28">IF(G28&lt;&gt;"",WORKDAY(Start,Duration-1),IF(Type="M",WORKDAY(Start,Duration-1),""))</f>
        <v>45887</v>
      </c>
      <c r="J28" s="43"/>
      <c r="K28" s="47" t="s">
        <v>89</v>
      </c>
      <c r="L28" s="34"/>
      <c r="M28" s="36" t="str">
        <f t="shared" si="14"/>
        <v/>
      </c>
      <c r="N28" s="34" t="str">
        <f t="shared" si="14"/>
        <v/>
      </c>
      <c r="O28" s="34" t="str">
        <f t="shared" si="14"/>
        <v/>
      </c>
      <c r="P28" s="34" t="str">
        <f t="shared" si="14"/>
        <v/>
      </c>
      <c r="Q28" s="34" t="str">
        <f t="shared" si="14"/>
        <v/>
      </c>
      <c r="R28" s="34" t="str">
        <f t="shared" si="6"/>
        <v/>
      </c>
      <c r="S28" s="34" t="str">
        <f t="shared" si="6"/>
        <v/>
      </c>
      <c r="T28" s="34" t="str">
        <f t="shared" si="6"/>
        <v/>
      </c>
      <c r="U28" s="34" t="str">
        <f t="shared" si="6"/>
        <v/>
      </c>
      <c r="V28" s="34" t="str">
        <f t="shared" si="6"/>
        <v/>
      </c>
      <c r="W28" s="34" t="str">
        <f t="shared" si="6"/>
        <v/>
      </c>
      <c r="X28" s="34" t="str">
        <f t="shared" si="6"/>
        <v/>
      </c>
      <c r="Y28" s="34" t="str">
        <f t="shared" si="7"/>
        <v/>
      </c>
      <c r="Z28" s="34" t="str">
        <f t="shared" si="7"/>
        <v/>
      </c>
      <c r="AA28" s="34" t="str">
        <f t="shared" si="15"/>
        <v/>
      </c>
      <c r="AB28" s="34" t="str">
        <f t="shared" si="15"/>
        <v/>
      </c>
      <c r="AC28" s="34" t="str">
        <f t="shared" si="7"/>
        <v/>
      </c>
      <c r="AD28" s="34" t="str">
        <f t="shared" si="7"/>
        <v/>
      </c>
      <c r="AE28" s="34" t="str">
        <f t="shared" si="7"/>
        <v/>
      </c>
      <c r="AF28" s="34" t="str">
        <f t="shared" si="7"/>
        <v/>
      </c>
      <c r="AG28" s="34" t="str">
        <f t="shared" si="8"/>
        <v/>
      </c>
      <c r="AH28" s="34" t="str">
        <f t="shared" si="7"/>
        <v/>
      </c>
      <c r="AI28" s="34" t="str">
        <f t="shared" si="7"/>
        <v/>
      </c>
      <c r="AJ28" s="34" t="str">
        <f t="shared" si="7"/>
        <v/>
      </c>
      <c r="AK28" s="34" t="str">
        <f t="shared" si="7"/>
        <v/>
      </c>
      <c r="AL28" s="34" t="str">
        <f t="shared" si="7"/>
        <v/>
      </c>
      <c r="AM28" s="34" t="str">
        <f t="shared" si="8"/>
        <v/>
      </c>
      <c r="AN28" s="34" t="str">
        <f t="shared" si="8"/>
        <v/>
      </c>
      <c r="AO28" s="34" t="str">
        <f t="shared" si="8"/>
        <v/>
      </c>
      <c r="AP28" s="34" t="str">
        <f t="shared" si="8"/>
        <v/>
      </c>
      <c r="AQ28" s="34" t="str">
        <f t="shared" si="8"/>
        <v/>
      </c>
      <c r="AR28" s="34" t="str">
        <f t="shared" si="8"/>
        <v/>
      </c>
      <c r="AS28" s="34" t="str">
        <f t="shared" si="8"/>
        <v/>
      </c>
      <c r="AT28" s="34" t="str">
        <f t="shared" si="9"/>
        <v/>
      </c>
      <c r="AU28" s="34" t="str">
        <f t="shared" si="9"/>
        <v/>
      </c>
      <c r="AV28" s="34" t="str">
        <f t="shared" si="8"/>
        <v/>
      </c>
      <c r="AW28" s="34" t="str">
        <f t="shared" si="9"/>
        <v/>
      </c>
      <c r="AX28" s="34" t="str">
        <f t="shared" si="9"/>
        <v/>
      </c>
      <c r="AY28" s="34" t="str">
        <f t="shared" si="9"/>
        <v/>
      </c>
      <c r="AZ28" s="34" t="str">
        <f t="shared" si="9"/>
        <v/>
      </c>
      <c r="BA28" s="34" t="str">
        <f t="shared" si="10"/>
        <v/>
      </c>
      <c r="BB28" s="34" t="str">
        <f t="shared" si="10"/>
        <v/>
      </c>
      <c r="BC28" s="34" t="str">
        <f t="shared" si="9"/>
        <v/>
      </c>
      <c r="BD28" s="34" t="str">
        <f t="shared" ref="BC28:BG79" si="17">IF(AND(Type="M",Start=Date),"◆","")</f>
        <v/>
      </c>
      <c r="BE28" s="34" t="str">
        <f t="shared" si="17"/>
        <v/>
      </c>
      <c r="BF28" s="34" t="str">
        <f t="shared" si="17"/>
        <v/>
      </c>
      <c r="BG28" s="34" t="str">
        <f t="shared" si="10"/>
        <v/>
      </c>
      <c r="BH28" s="34" t="str">
        <f t="shared" si="10"/>
        <v/>
      </c>
      <c r="BI28" s="34" t="str">
        <f t="shared" si="10"/>
        <v/>
      </c>
      <c r="BJ28" s="34" t="str">
        <f t="shared" si="10"/>
        <v/>
      </c>
      <c r="BK28" s="34" t="str">
        <f t="shared" si="11"/>
        <v/>
      </c>
      <c r="BL28" s="34" t="str">
        <f t="shared" si="11"/>
        <v/>
      </c>
      <c r="BM28" s="34" t="str">
        <f t="shared" si="11"/>
        <v/>
      </c>
      <c r="BN28" s="34" t="str">
        <f t="shared" si="11"/>
        <v/>
      </c>
      <c r="BO28" s="34" t="str">
        <f t="shared" si="11"/>
        <v/>
      </c>
      <c r="BP28" s="34" t="str">
        <f t="shared" si="11"/>
        <v/>
      </c>
    </row>
    <row r="29" spans="2:68" ht="31.5" outlineLevel="1" x14ac:dyDescent="0.25">
      <c r="B29" s="32">
        <f t="shared" si="13"/>
        <v>20</v>
      </c>
      <c r="C29" s="33" t="s">
        <v>5</v>
      </c>
      <c r="D29" s="34" t="s">
        <v>9</v>
      </c>
      <c r="E29" s="34"/>
      <c r="F29" s="40"/>
      <c r="G29" s="33">
        <v>2</v>
      </c>
      <c r="H29" s="35">
        <f t="shared" si="16"/>
        <v>45888</v>
      </c>
      <c r="I29" s="35" cm="1">
        <f t="array" ref="I29">IF(G29&lt;&gt;"",WORKDAY(Start,Duration-1),IF(Type="M",WORKDAY(Start,Duration-1),""))</f>
        <v>45889</v>
      </c>
      <c r="J29" s="43"/>
      <c r="K29" s="47" t="s">
        <v>432</v>
      </c>
      <c r="L29" s="58" t="s">
        <v>447</v>
      </c>
      <c r="M29" s="36" t="str">
        <f t="shared" si="14"/>
        <v/>
      </c>
      <c r="N29" s="34" t="str">
        <f t="shared" si="14"/>
        <v/>
      </c>
      <c r="O29" s="34" t="str">
        <f t="shared" si="14"/>
        <v/>
      </c>
      <c r="P29" s="34" t="str">
        <f t="shared" si="14"/>
        <v/>
      </c>
      <c r="Q29" s="34" t="str">
        <f t="shared" si="14"/>
        <v/>
      </c>
      <c r="R29" s="34" t="str">
        <f t="shared" si="6"/>
        <v/>
      </c>
      <c r="S29" s="34" t="str">
        <f t="shared" si="6"/>
        <v/>
      </c>
      <c r="T29" s="34" t="str">
        <f t="shared" si="6"/>
        <v/>
      </c>
      <c r="U29" s="34" t="str">
        <f t="shared" si="6"/>
        <v/>
      </c>
      <c r="V29" s="34" t="str">
        <f t="shared" si="6"/>
        <v/>
      </c>
      <c r="W29" s="34" t="str">
        <f t="shared" si="6"/>
        <v/>
      </c>
      <c r="X29" s="34" t="str">
        <f t="shared" si="6"/>
        <v/>
      </c>
      <c r="Y29" s="34" t="str">
        <f t="shared" si="7"/>
        <v/>
      </c>
      <c r="Z29" s="34" t="str">
        <f t="shared" si="7"/>
        <v/>
      </c>
      <c r="AA29" s="34" t="str">
        <f t="shared" si="15"/>
        <v/>
      </c>
      <c r="AB29" s="34" t="str">
        <f t="shared" si="15"/>
        <v/>
      </c>
      <c r="AC29" s="34" t="str">
        <f t="shared" si="7"/>
        <v/>
      </c>
      <c r="AD29" s="34" t="str">
        <f t="shared" si="7"/>
        <v/>
      </c>
      <c r="AE29" s="34" t="str">
        <f t="shared" si="7"/>
        <v/>
      </c>
      <c r="AF29" s="34" t="str">
        <f t="shared" si="7"/>
        <v/>
      </c>
      <c r="AG29" s="34" t="str">
        <f t="shared" si="8"/>
        <v/>
      </c>
      <c r="AH29" s="34" t="str">
        <f t="shared" si="7"/>
        <v/>
      </c>
      <c r="AI29" s="34" t="str">
        <f t="shared" si="7"/>
        <v/>
      </c>
      <c r="AJ29" s="34" t="str">
        <f t="shared" ref="AH29:AL79" si="18">IF(AND(Type="M",Start=Date),"◆","")</f>
        <v/>
      </c>
      <c r="AK29" s="34" t="str">
        <f t="shared" si="18"/>
        <v/>
      </c>
      <c r="AL29" s="34" t="str">
        <f t="shared" si="18"/>
        <v/>
      </c>
      <c r="AM29" s="34" t="str">
        <f t="shared" si="8"/>
        <v/>
      </c>
      <c r="AN29" s="34" t="str">
        <f t="shared" si="8"/>
        <v/>
      </c>
      <c r="AO29" s="34" t="str">
        <f t="shared" si="8"/>
        <v/>
      </c>
      <c r="AP29" s="34" t="str">
        <f t="shared" si="8"/>
        <v/>
      </c>
      <c r="AQ29" s="34" t="str">
        <f t="shared" si="8"/>
        <v/>
      </c>
      <c r="AR29" s="34" t="str">
        <f t="shared" si="8"/>
        <v/>
      </c>
      <c r="AS29" s="34" t="str">
        <f t="shared" si="8"/>
        <v/>
      </c>
      <c r="AT29" s="34" t="str">
        <f t="shared" si="9"/>
        <v/>
      </c>
      <c r="AU29" s="34" t="str">
        <f t="shared" si="9"/>
        <v/>
      </c>
      <c r="AV29" s="34" t="str">
        <f t="shared" si="8"/>
        <v/>
      </c>
      <c r="AW29" s="34" t="str">
        <f t="shared" si="9"/>
        <v/>
      </c>
      <c r="AX29" s="34" t="str">
        <f t="shared" si="9"/>
        <v/>
      </c>
      <c r="AY29" s="34" t="str">
        <f t="shared" si="9"/>
        <v/>
      </c>
      <c r="AZ29" s="34" t="str">
        <f t="shared" si="9"/>
        <v/>
      </c>
      <c r="BA29" s="34" t="str">
        <f t="shared" si="10"/>
        <v/>
      </c>
      <c r="BB29" s="34" t="str">
        <f t="shared" si="10"/>
        <v/>
      </c>
      <c r="BC29" s="34" t="str">
        <f t="shared" si="17"/>
        <v/>
      </c>
      <c r="BD29" s="34" t="str">
        <f t="shared" si="17"/>
        <v/>
      </c>
      <c r="BE29" s="34" t="str">
        <f t="shared" si="17"/>
        <v/>
      </c>
      <c r="BF29" s="34" t="str">
        <f t="shared" si="17"/>
        <v/>
      </c>
      <c r="BG29" s="34" t="str">
        <f t="shared" si="10"/>
        <v/>
      </c>
      <c r="BH29" s="34" t="str">
        <f t="shared" si="10"/>
        <v/>
      </c>
      <c r="BI29" s="34" t="str">
        <f t="shared" si="10"/>
        <v/>
      </c>
      <c r="BJ29" s="34" t="str">
        <f t="shared" si="10"/>
        <v/>
      </c>
      <c r="BK29" s="34" t="str">
        <f t="shared" si="11"/>
        <v/>
      </c>
      <c r="BL29" s="34" t="str">
        <f t="shared" si="11"/>
        <v/>
      </c>
      <c r="BM29" s="34" t="str">
        <f t="shared" si="11"/>
        <v/>
      </c>
      <c r="BN29" s="34" t="str">
        <f t="shared" si="11"/>
        <v/>
      </c>
      <c r="BO29" s="34" t="str">
        <f t="shared" si="11"/>
        <v/>
      </c>
      <c r="BP29" s="34" t="str">
        <f t="shared" si="11"/>
        <v/>
      </c>
    </row>
    <row r="30" spans="2:68" outlineLevel="1" x14ac:dyDescent="0.25">
      <c r="B30" s="32">
        <f t="shared" si="13"/>
        <v>21</v>
      </c>
      <c r="C30" s="33" t="s">
        <v>5</v>
      </c>
      <c r="D30" s="34" t="s">
        <v>675</v>
      </c>
      <c r="E30" s="34"/>
      <c r="F30" s="40"/>
      <c r="G30" s="33">
        <v>1</v>
      </c>
      <c r="H30" s="35">
        <f t="shared" si="16"/>
        <v>45890</v>
      </c>
      <c r="I30" s="35" cm="1">
        <f t="array" ref="I30">IF(G30&lt;&gt;"",WORKDAY(Start,Duration-1),IF(Type="M",WORKDAY(Start,Duration-1),""))</f>
        <v>45890</v>
      </c>
      <c r="J30" s="43"/>
      <c r="K30" s="47" t="s">
        <v>105</v>
      </c>
      <c r="L30" s="58"/>
      <c r="M30" s="36" t="str">
        <f t="shared" si="14"/>
        <v/>
      </c>
      <c r="N30" s="34" t="str">
        <f t="shared" si="14"/>
        <v/>
      </c>
      <c r="O30" s="34" t="str">
        <f t="shared" si="14"/>
        <v/>
      </c>
      <c r="P30" s="34" t="str">
        <f t="shared" si="14"/>
        <v/>
      </c>
      <c r="Q30" s="34" t="str">
        <f t="shared" si="14"/>
        <v/>
      </c>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row>
    <row r="31" spans="2:68" outlineLevel="1" x14ac:dyDescent="0.25">
      <c r="B31" s="32">
        <f t="shared" si="13"/>
        <v>22</v>
      </c>
      <c r="C31" s="33" t="s">
        <v>5</v>
      </c>
      <c r="D31" s="34" t="s">
        <v>10</v>
      </c>
      <c r="E31" s="34"/>
      <c r="F31" s="40"/>
      <c r="G31" s="33">
        <v>5</v>
      </c>
      <c r="H31" s="35">
        <f t="shared" si="16"/>
        <v>45891</v>
      </c>
      <c r="I31" s="35" cm="1">
        <f t="array" ref="I31">IF(G31&lt;&gt;"",WORKDAY(Start,Duration-1),IF(Type="M",WORKDAY(Start,Duration-1),""))</f>
        <v>45897</v>
      </c>
      <c r="J31" s="43"/>
      <c r="K31" s="47" t="s">
        <v>91</v>
      </c>
      <c r="L31" s="34"/>
      <c r="M31" s="36" t="str">
        <f t="shared" si="14"/>
        <v/>
      </c>
      <c r="N31" s="34" t="str">
        <f t="shared" si="14"/>
        <v/>
      </c>
      <c r="O31" s="34" t="str">
        <f t="shared" si="14"/>
        <v/>
      </c>
      <c r="P31" s="34" t="str">
        <f t="shared" si="14"/>
        <v/>
      </c>
      <c r="Q31" s="34" t="str">
        <f t="shared" si="14"/>
        <v/>
      </c>
      <c r="R31" s="34" t="str">
        <f t="shared" si="6"/>
        <v/>
      </c>
      <c r="S31" s="34" t="str">
        <f t="shared" si="6"/>
        <v/>
      </c>
      <c r="T31" s="34" t="str">
        <f t="shared" si="6"/>
        <v/>
      </c>
      <c r="U31" s="34" t="str">
        <f t="shared" si="6"/>
        <v/>
      </c>
      <c r="V31" s="34" t="str">
        <f t="shared" si="6"/>
        <v/>
      </c>
      <c r="W31" s="34" t="str">
        <f t="shared" si="6"/>
        <v/>
      </c>
      <c r="X31" s="34" t="str">
        <f t="shared" si="6"/>
        <v/>
      </c>
      <c r="Y31" s="34" t="str">
        <f t="shared" si="7"/>
        <v/>
      </c>
      <c r="Z31" s="34" t="str">
        <f t="shared" si="7"/>
        <v/>
      </c>
      <c r="AA31" s="34" t="str">
        <f t="shared" si="15"/>
        <v/>
      </c>
      <c r="AB31" s="34" t="str">
        <f t="shared" si="15"/>
        <v/>
      </c>
      <c r="AC31" s="34" t="str">
        <f t="shared" si="7"/>
        <v/>
      </c>
      <c r="AD31" s="34" t="str">
        <f t="shared" si="7"/>
        <v/>
      </c>
      <c r="AE31" s="34" t="str">
        <f t="shared" si="7"/>
        <v/>
      </c>
      <c r="AF31" s="34" t="str">
        <f t="shared" si="7"/>
        <v/>
      </c>
      <c r="AG31" s="34" t="str">
        <f t="shared" si="8"/>
        <v/>
      </c>
      <c r="AH31" s="34" t="str">
        <f t="shared" si="18"/>
        <v/>
      </c>
      <c r="AI31" s="34" t="str">
        <f t="shared" si="18"/>
        <v/>
      </c>
      <c r="AJ31" s="34" t="str">
        <f t="shared" si="18"/>
        <v/>
      </c>
      <c r="AK31" s="34" t="str">
        <f t="shared" si="18"/>
        <v/>
      </c>
      <c r="AL31" s="34" t="str">
        <f t="shared" si="18"/>
        <v/>
      </c>
      <c r="AM31" s="34" t="str">
        <f t="shared" si="8"/>
        <v/>
      </c>
      <c r="AN31" s="34" t="str">
        <f t="shared" si="8"/>
        <v/>
      </c>
      <c r="AO31" s="34" t="str">
        <f t="shared" si="8"/>
        <v/>
      </c>
      <c r="AP31" s="34" t="str">
        <f t="shared" si="8"/>
        <v/>
      </c>
      <c r="AQ31" s="34" t="str">
        <f t="shared" si="8"/>
        <v/>
      </c>
      <c r="AR31" s="34" t="str">
        <f t="shared" si="8"/>
        <v/>
      </c>
      <c r="AS31" s="34" t="str">
        <f t="shared" si="8"/>
        <v/>
      </c>
      <c r="AT31" s="34" t="str">
        <f t="shared" si="9"/>
        <v/>
      </c>
      <c r="AU31" s="34" t="str">
        <f t="shared" si="9"/>
        <v/>
      </c>
      <c r="AV31" s="34" t="str">
        <f t="shared" si="8"/>
        <v/>
      </c>
      <c r="AW31" s="34" t="str">
        <f t="shared" si="9"/>
        <v/>
      </c>
      <c r="AX31" s="34" t="str">
        <f t="shared" si="9"/>
        <v/>
      </c>
      <c r="AY31" s="34" t="str">
        <f t="shared" si="9"/>
        <v/>
      </c>
      <c r="AZ31" s="34" t="str">
        <f t="shared" si="9"/>
        <v/>
      </c>
      <c r="BA31" s="34" t="str">
        <f t="shared" si="10"/>
        <v/>
      </c>
      <c r="BB31" s="34" t="str">
        <f t="shared" si="10"/>
        <v/>
      </c>
      <c r="BC31" s="34" t="str">
        <f t="shared" si="17"/>
        <v/>
      </c>
      <c r="BD31" s="34" t="str">
        <f t="shared" si="17"/>
        <v/>
      </c>
      <c r="BE31" s="34" t="str">
        <f t="shared" si="17"/>
        <v/>
      </c>
      <c r="BF31" s="34" t="str">
        <f t="shared" si="17"/>
        <v/>
      </c>
      <c r="BG31" s="34" t="str">
        <f t="shared" si="10"/>
        <v/>
      </c>
      <c r="BH31" s="34" t="str">
        <f t="shared" si="10"/>
        <v/>
      </c>
      <c r="BI31" s="34" t="str">
        <f t="shared" si="10"/>
        <v/>
      </c>
      <c r="BJ31" s="34" t="str">
        <f t="shared" si="10"/>
        <v/>
      </c>
      <c r="BK31" s="34" t="str">
        <f t="shared" si="11"/>
        <v/>
      </c>
      <c r="BL31" s="34" t="str">
        <f t="shared" si="11"/>
        <v/>
      </c>
      <c r="BM31" s="34" t="str">
        <f t="shared" si="11"/>
        <v/>
      </c>
      <c r="BN31" s="34" t="str">
        <f t="shared" si="11"/>
        <v/>
      </c>
      <c r="BO31" s="34" t="str">
        <f t="shared" si="11"/>
        <v/>
      </c>
      <c r="BP31" s="34" t="str">
        <f t="shared" si="11"/>
        <v/>
      </c>
    </row>
    <row r="32" spans="2:68" outlineLevel="1" x14ac:dyDescent="0.25">
      <c r="B32" s="32">
        <f t="shared" si="13"/>
        <v>23</v>
      </c>
      <c r="C32" s="33" t="s">
        <v>5</v>
      </c>
      <c r="D32" s="34" t="s">
        <v>11</v>
      </c>
      <c r="E32" s="34"/>
      <c r="F32" s="40"/>
      <c r="G32" s="33">
        <v>1</v>
      </c>
      <c r="H32" s="35">
        <f t="shared" si="16"/>
        <v>45898</v>
      </c>
      <c r="I32" s="35" cm="1">
        <f t="array" ref="I32">IF(G32&lt;&gt;"",WORKDAY(Start,Duration-1),IF(Type="M",WORKDAY(Start,Duration-1),""))</f>
        <v>45898</v>
      </c>
      <c r="J32" s="43"/>
      <c r="K32" s="46" t="s">
        <v>91</v>
      </c>
      <c r="L32" s="34"/>
      <c r="M32" s="36" t="str">
        <f t="shared" si="14"/>
        <v/>
      </c>
      <c r="N32" s="34" t="str">
        <f t="shared" si="14"/>
        <v/>
      </c>
      <c r="O32" s="34" t="str">
        <f t="shared" si="14"/>
        <v/>
      </c>
      <c r="P32" s="34" t="str">
        <f t="shared" si="14"/>
        <v/>
      </c>
      <c r="Q32" s="34" t="str">
        <f t="shared" si="14"/>
        <v/>
      </c>
      <c r="R32" s="34"/>
      <c r="S32" s="34"/>
      <c r="T32" s="34" t="str">
        <f t="shared" si="6"/>
        <v/>
      </c>
      <c r="U32" s="34" t="str">
        <f t="shared" si="6"/>
        <v/>
      </c>
      <c r="V32" s="34" t="str">
        <f t="shared" si="6"/>
        <v/>
      </c>
      <c r="W32" s="34" t="str">
        <f t="shared" si="6"/>
        <v/>
      </c>
      <c r="X32" s="34" t="str">
        <f t="shared" si="6"/>
        <v/>
      </c>
      <c r="Y32" s="34"/>
      <c r="Z32" s="34"/>
      <c r="AA32" s="34" t="str">
        <f t="shared" si="15"/>
        <v/>
      </c>
      <c r="AB32" s="34" t="str">
        <f t="shared" si="15"/>
        <v/>
      </c>
      <c r="AC32" s="34" t="str">
        <f t="shared" si="7"/>
        <v/>
      </c>
      <c r="AD32" s="34" t="str">
        <f t="shared" si="7"/>
        <v/>
      </c>
      <c r="AE32" s="34" t="str">
        <f t="shared" si="7"/>
        <v/>
      </c>
      <c r="AF32" s="34"/>
      <c r="AG32" s="34"/>
      <c r="AH32" s="34" t="str">
        <f t="shared" si="18"/>
        <v/>
      </c>
      <c r="AI32" s="34" t="str">
        <f t="shared" si="18"/>
        <v/>
      </c>
      <c r="AJ32" s="34" t="str">
        <f t="shared" si="18"/>
        <v/>
      </c>
      <c r="AK32" s="34" t="str">
        <f t="shared" si="18"/>
        <v/>
      </c>
      <c r="AL32" s="34" t="str">
        <f t="shared" si="18"/>
        <v/>
      </c>
      <c r="AM32" s="34"/>
      <c r="AN32" s="34"/>
      <c r="AO32" s="34" t="str">
        <f t="shared" si="8"/>
        <v/>
      </c>
      <c r="AP32" s="34" t="str">
        <f t="shared" si="8"/>
        <v/>
      </c>
      <c r="AQ32" s="34" t="str">
        <f t="shared" si="8"/>
        <v/>
      </c>
      <c r="AR32" s="34" t="str">
        <f t="shared" si="8"/>
        <v/>
      </c>
      <c r="AS32" s="34" t="str">
        <f t="shared" si="8"/>
        <v/>
      </c>
      <c r="AT32" s="34"/>
      <c r="AU32" s="34"/>
      <c r="AV32" s="34" t="str">
        <f t="shared" si="8"/>
        <v/>
      </c>
      <c r="AW32" s="34" t="str">
        <f t="shared" si="9"/>
        <v/>
      </c>
      <c r="AX32" s="34" t="str">
        <f t="shared" si="9"/>
        <v/>
      </c>
      <c r="AY32" s="34" t="str">
        <f t="shared" si="9"/>
        <v/>
      </c>
      <c r="AZ32" s="34" t="str">
        <f t="shared" si="9"/>
        <v/>
      </c>
      <c r="BA32" s="34"/>
      <c r="BB32" s="34"/>
      <c r="BC32" s="34" t="str">
        <f t="shared" si="17"/>
        <v/>
      </c>
      <c r="BD32" s="34" t="str">
        <f t="shared" si="17"/>
        <v/>
      </c>
      <c r="BE32" s="34" t="str">
        <f t="shared" si="17"/>
        <v/>
      </c>
      <c r="BF32" s="34" t="str">
        <f t="shared" si="17"/>
        <v/>
      </c>
      <c r="BG32" s="34" t="str">
        <f t="shared" si="10"/>
        <v/>
      </c>
      <c r="BH32" s="34"/>
      <c r="BI32" s="34"/>
      <c r="BJ32" s="34"/>
      <c r="BK32" s="34"/>
      <c r="BL32" s="34"/>
      <c r="BM32" s="34"/>
      <c r="BN32" s="34"/>
      <c r="BO32" s="34"/>
      <c r="BP32" s="34"/>
    </row>
    <row r="33" spans="2:68" outlineLevel="1" x14ac:dyDescent="0.25">
      <c r="B33" s="32">
        <f t="shared" si="13"/>
        <v>24</v>
      </c>
      <c r="C33" s="33" t="s">
        <v>5</v>
      </c>
      <c r="D33" s="34" t="s">
        <v>12</v>
      </c>
      <c r="E33" s="34"/>
      <c r="F33" s="40"/>
      <c r="G33" s="33">
        <v>1</v>
      </c>
      <c r="H33" s="35">
        <f t="shared" si="16"/>
        <v>45901</v>
      </c>
      <c r="I33" s="35" cm="1">
        <f t="array" ref="I33">IF(G33&lt;&gt;"",WORKDAY(Start,Duration-1),IF(Type="M",WORKDAY(Start,Duration-1),""))</f>
        <v>45901</v>
      </c>
      <c r="J33" s="43"/>
      <c r="K33" s="46" t="s">
        <v>91</v>
      </c>
      <c r="L33" s="34"/>
      <c r="M33" s="36" t="str">
        <f t="shared" si="14"/>
        <v/>
      </c>
      <c r="N33" s="34" t="str">
        <f t="shared" si="14"/>
        <v/>
      </c>
      <c r="O33" s="34" t="str">
        <f t="shared" si="14"/>
        <v/>
      </c>
      <c r="P33" s="34" t="str">
        <f t="shared" si="14"/>
        <v/>
      </c>
      <c r="Q33" s="34" t="str">
        <f t="shared" si="14"/>
        <v/>
      </c>
      <c r="R33" s="34"/>
      <c r="S33" s="34"/>
      <c r="T33" s="34" t="str">
        <f t="shared" si="6"/>
        <v/>
      </c>
      <c r="U33" s="34" t="str">
        <f t="shared" si="6"/>
        <v/>
      </c>
      <c r="V33" s="34" t="str">
        <f t="shared" si="6"/>
        <v/>
      </c>
      <c r="W33" s="34" t="str">
        <f t="shared" si="6"/>
        <v/>
      </c>
      <c r="X33" s="34" t="str">
        <f t="shared" si="6"/>
        <v/>
      </c>
      <c r="Y33" s="34"/>
      <c r="Z33" s="34"/>
      <c r="AA33" s="34" t="str">
        <f t="shared" si="15"/>
        <v/>
      </c>
      <c r="AB33" s="34" t="str">
        <f t="shared" si="15"/>
        <v/>
      </c>
      <c r="AC33" s="34" t="str">
        <f t="shared" si="7"/>
        <v/>
      </c>
      <c r="AD33" s="34" t="str">
        <f t="shared" si="7"/>
        <v/>
      </c>
      <c r="AE33" s="34" t="str">
        <f t="shared" si="7"/>
        <v/>
      </c>
      <c r="AF33" s="34"/>
      <c r="AG33" s="34"/>
      <c r="AH33" s="34" t="str">
        <f t="shared" si="18"/>
        <v/>
      </c>
      <c r="AI33" s="34" t="str">
        <f t="shared" si="18"/>
        <v/>
      </c>
      <c r="AJ33" s="34" t="str">
        <f t="shared" si="18"/>
        <v/>
      </c>
      <c r="AK33" s="34" t="str">
        <f t="shared" si="18"/>
        <v/>
      </c>
      <c r="AL33" s="34" t="str">
        <f t="shared" si="18"/>
        <v/>
      </c>
      <c r="AM33" s="34"/>
      <c r="AN33" s="34"/>
      <c r="AO33" s="34" t="str">
        <f t="shared" si="8"/>
        <v/>
      </c>
      <c r="AP33" s="34" t="str">
        <f t="shared" si="8"/>
        <v/>
      </c>
      <c r="AQ33" s="34" t="str">
        <f t="shared" si="8"/>
        <v/>
      </c>
      <c r="AR33" s="34" t="str">
        <f t="shared" si="8"/>
        <v/>
      </c>
      <c r="AS33" s="34" t="str">
        <f t="shared" si="8"/>
        <v/>
      </c>
      <c r="AT33" s="34"/>
      <c r="AU33" s="34"/>
      <c r="AV33" s="34" t="str">
        <f t="shared" si="8"/>
        <v/>
      </c>
      <c r="AW33" s="34" t="str">
        <f t="shared" si="9"/>
        <v/>
      </c>
      <c r="AX33" s="34" t="str">
        <f t="shared" si="9"/>
        <v/>
      </c>
      <c r="AY33" s="34" t="str">
        <f t="shared" si="9"/>
        <v/>
      </c>
      <c r="AZ33" s="34" t="str">
        <f t="shared" si="9"/>
        <v/>
      </c>
      <c r="BA33" s="34"/>
      <c r="BB33" s="34"/>
      <c r="BC33" s="34" t="str">
        <f t="shared" si="17"/>
        <v/>
      </c>
      <c r="BD33" s="34" t="str">
        <f t="shared" si="17"/>
        <v/>
      </c>
      <c r="BE33" s="34" t="str">
        <f t="shared" si="17"/>
        <v/>
      </c>
      <c r="BF33" s="34" t="str">
        <f t="shared" si="17"/>
        <v/>
      </c>
      <c r="BG33" s="34" t="str">
        <f t="shared" si="10"/>
        <v/>
      </c>
      <c r="BH33" s="34"/>
      <c r="BI33" s="34"/>
      <c r="BJ33" s="34"/>
      <c r="BK33" s="34"/>
      <c r="BL33" s="34"/>
      <c r="BM33" s="34"/>
      <c r="BN33" s="34"/>
      <c r="BO33" s="34"/>
      <c r="BP33" s="34"/>
    </row>
    <row r="34" spans="2:68" outlineLevel="1" x14ac:dyDescent="0.25">
      <c r="B34" s="32">
        <f t="shared" si="13"/>
        <v>25</v>
      </c>
      <c r="C34" s="33" t="s">
        <v>5</v>
      </c>
      <c r="D34" s="34" t="s">
        <v>543</v>
      </c>
      <c r="E34" s="34"/>
      <c r="F34" s="40"/>
      <c r="G34" s="33">
        <v>1</v>
      </c>
      <c r="H34" s="35">
        <f t="shared" si="16"/>
        <v>45902</v>
      </c>
      <c r="I34" s="35" cm="1">
        <f t="array" ref="I34">IF(G34&lt;&gt;"",WORKDAY(Start,Duration-1),IF(Type="M",WORKDAY(Start,Duration-1),""))</f>
        <v>45902</v>
      </c>
      <c r="J34" s="43"/>
      <c r="K34" s="46" t="s">
        <v>91</v>
      </c>
      <c r="L34" s="34"/>
      <c r="M34" s="36" t="str">
        <f t="shared" si="14"/>
        <v/>
      </c>
      <c r="N34" s="34" t="str">
        <f t="shared" si="14"/>
        <v/>
      </c>
      <c r="O34" s="34" t="str">
        <f t="shared" si="14"/>
        <v/>
      </c>
      <c r="P34" s="34" t="str">
        <f t="shared" si="14"/>
        <v/>
      </c>
      <c r="Q34" s="34" t="str">
        <f t="shared" si="14"/>
        <v/>
      </c>
      <c r="R34" s="34" t="str">
        <f t="shared" si="6"/>
        <v/>
      </c>
      <c r="S34" s="34" t="str">
        <f t="shared" si="6"/>
        <v/>
      </c>
      <c r="T34" s="34" t="str">
        <f t="shared" si="6"/>
        <v/>
      </c>
      <c r="U34" s="34" t="str">
        <f t="shared" si="6"/>
        <v/>
      </c>
      <c r="V34" s="34" t="str">
        <f t="shared" si="6"/>
        <v/>
      </c>
      <c r="W34" s="34" t="str">
        <f t="shared" si="6"/>
        <v/>
      </c>
      <c r="X34" s="34" t="str">
        <f t="shared" si="6"/>
        <v/>
      </c>
      <c r="Y34" s="34" t="str">
        <f t="shared" si="7"/>
        <v/>
      </c>
      <c r="Z34" s="34" t="str">
        <f t="shared" si="7"/>
        <v/>
      </c>
      <c r="AA34" s="34" t="str">
        <f t="shared" si="15"/>
        <v/>
      </c>
      <c r="AB34" s="34" t="str">
        <f t="shared" si="15"/>
        <v/>
      </c>
      <c r="AC34" s="34" t="str">
        <f t="shared" si="7"/>
        <v/>
      </c>
      <c r="AD34" s="34" t="str">
        <f t="shared" si="7"/>
        <v/>
      </c>
      <c r="AE34" s="34" t="str">
        <f t="shared" si="7"/>
        <v/>
      </c>
      <c r="AF34" s="34" t="str">
        <f t="shared" si="7"/>
        <v/>
      </c>
      <c r="AG34" s="34" t="str">
        <f t="shared" si="8"/>
        <v/>
      </c>
      <c r="AH34" s="34" t="str">
        <f t="shared" si="18"/>
        <v/>
      </c>
      <c r="AI34" s="34" t="str">
        <f t="shared" si="18"/>
        <v/>
      </c>
      <c r="AJ34" s="34" t="str">
        <f t="shared" si="18"/>
        <v/>
      </c>
      <c r="AK34" s="34" t="str">
        <f t="shared" si="18"/>
        <v/>
      </c>
      <c r="AL34" s="34" t="str">
        <f t="shared" si="18"/>
        <v/>
      </c>
      <c r="AM34" s="34" t="str">
        <f t="shared" si="8"/>
        <v/>
      </c>
      <c r="AN34" s="34" t="str">
        <f t="shared" si="8"/>
        <v/>
      </c>
      <c r="AO34" s="34" t="str">
        <f t="shared" si="8"/>
        <v/>
      </c>
      <c r="AP34" s="34" t="str">
        <f t="shared" si="8"/>
        <v/>
      </c>
      <c r="AQ34" s="34" t="str">
        <f t="shared" si="8"/>
        <v/>
      </c>
      <c r="AR34" s="34" t="str">
        <f t="shared" si="8"/>
        <v/>
      </c>
      <c r="AS34" s="34" t="str">
        <f t="shared" si="8"/>
        <v/>
      </c>
      <c r="AT34" s="34" t="str">
        <f t="shared" si="9"/>
        <v/>
      </c>
      <c r="AU34" s="34" t="str">
        <f t="shared" si="9"/>
        <v/>
      </c>
      <c r="AV34" s="34" t="str">
        <f t="shared" si="8"/>
        <v/>
      </c>
      <c r="AW34" s="34" t="str">
        <f t="shared" si="9"/>
        <v/>
      </c>
      <c r="AX34" s="34" t="str">
        <f t="shared" si="9"/>
        <v/>
      </c>
      <c r="AY34" s="34" t="str">
        <f t="shared" si="9"/>
        <v/>
      </c>
      <c r="AZ34" s="34" t="str">
        <f t="shared" si="9"/>
        <v/>
      </c>
      <c r="BA34" s="34" t="str">
        <f t="shared" si="10"/>
        <v/>
      </c>
      <c r="BB34" s="34" t="str">
        <f t="shared" si="10"/>
        <v/>
      </c>
      <c r="BC34" s="34" t="str">
        <f t="shared" si="17"/>
        <v/>
      </c>
      <c r="BD34" s="34" t="str">
        <f t="shared" si="17"/>
        <v/>
      </c>
      <c r="BE34" s="34" t="str">
        <f t="shared" si="17"/>
        <v/>
      </c>
      <c r="BF34" s="34" t="str">
        <f t="shared" si="17"/>
        <v/>
      </c>
      <c r="BG34" s="34" t="str">
        <f t="shared" si="10"/>
        <v/>
      </c>
      <c r="BH34" s="34" t="str">
        <f t="shared" si="10"/>
        <v/>
      </c>
      <c r="BI34" s="34" t="str">
        <f t="shared" si="10"/>
        <v/>
      </c>
      <c r="BJ34" s="34" t="str">
        <f t="shared" si="10"/>
        <v/>
      </c>
      <c r="BK34" s="34" t="str">
        <f t="shared" si="11"/>
        <v/>
      </c>
      <c r="BL34" s="34" t="str">
        <f t="shared" si="11"/>
        <v/>
      </c>
      <c r="BM34" s="34" t="str">
        <f t="shared" si="11"/>
        <v/>
      </c>
      <c r="BN34" s="34" t="str">
        <f t="shared" si="11"/>
        <v/>
      </c>
      <c r="BO34" s="34" t="str">
        <f t="shared" si="11"/>
        <v/>
      </c>
      <c r="BP34" s="34" t="str">
        <f t="shared" si="11"/>
        <v/>
      </c>
    </row>
    <row r="35" spans="2:68" outlineLevel="1" x14ac:dyDescent="0.25">
      <c r="B35" s="32">
        <f>B34+1</f>
        <v>26</v>
      </c>
      <c r="C35" s="33" t="s">
        <v>6</v>
      </c>
      <c r="D35" s="34" t="s">
        <v>503</v>
      </c>
      <c r="E35" s="34"/>
      <c r="F35" s="40"/>
      <c r="G35" s="33"/>
      <c r="H35" s="35">
        <f t="shared" si="16"/>
        <v>45902</v>
      </c>
      <c r="I35" s="35" cm="1">
        <f t="array" ref="I35">IF(G35&lt;&gt;"",WORKDAY(Start,Duration-1),IF(Type="M",WORKDAY(Start,Duration-1),""))</f>
        <v>45902</v>
      </c>
      <c r="J35" s="43"/>
      <c r="K35" s="46" t="s">
        <v>91</v>
      </c>
      <c r="L35" s="34" t="s">
        <v>67</v>
      </c>
      <c r="M35" s="36" t="str">
        <f t="shared" si="14"/>
        <v/>
      </c>
      <c r="N35" s="34" t="str">
        <f t="shared" si="14"/>
        <v/>
      </c>
      <c r="O35" s="34" t="str">
        <f t="shared" si="14"/>
        <v/>
      </c>
      <c r="P35" s="34" t="str">
        <f t="shared" si="14"/>
        <v/>
      </c>
      <c r="Q35" s="34" t="str">
        <f t="shared" si="14"/>
        <v/>
      </c>
      <c r="R35" s="34"/>
      <c r="S35" s="34"/>
      <c r="T35" s="34" t="str">
        <f t="shared" ref="T35:X83" si="19">IF(AND(Type="M",Start=Date),"◆","")</f>
        <v/>
      </c>
      <c r="U35" s="34" t="str">
        <f t="shared" si="19"/>
        <v/>
      </c>
      <c r="V35" s="34" t="str">
        <f t="shared" si="19"/>
        <v/>
      </c>
      <c r="W35" s="34" t="str">
        <f t="shared" si="19"/>
        <v/>
      </c>
      <c r="X35" s="34" t="str">
        <f t="shared" si="19"/>
        <v/>
      </c>
      <c r="Y35" s="34"/>
      <c r="Z35" s="34"/>
      <c r="AA35" s="34" t="str">
        <f t="shared" si="15"/>
        <v/>
      </c>
      <c r="AB35" s="34" t="str">
        <f t="shared" si="15"/>
        <v/>
      </c>
      <c r="AC35" s="34" t="str">
        <f t="shared" si="15"/>
        <v/>
      </c>
      <c r="AD35" s="34" t="str">
        <f t="shared" si="15"/>
        <v/>
      </c>
      <c r="AE35" s="34" t="str">
        <f t="shared" si="15"/>
        <v/>
      </c>
      <c r="AF35" s="34"/>
      <c r="AG35" s="34"/>
      <c r="AH35" s="34" t="str">
        <f t="shared" si="18"/>
        <v/>
      </c>
      <c r="AI35" s="34" t="str">
        <f t="shared" si="18"/>
        <v/>
      </c>
      <c r="AJ35" s="34" t="str">
        <f t="shared" si="18"/>
        <v/>
      </c>
      <c r="AK35" s="34" t="str">
        <f t="shared" si="18"/>
        <v/>
      </c>
      <c r="AL35" s="34" t="str">
        <f t="shared" si="18"/>
        <v/>
      </c>
      <c r="AM35" s="34"/>
      <c r="AN35" s="34"/>
      <c r="AO35" s="34" t="str">
        <f t="shared" ref="AO35:AS83" si="20">IF(AND(Type="M",Start=Date),"◆","")</f>
        <v/>
      </c>
      <c r="AP35" s="34" t="str">
        <f t="shared" si="20"/>
        <v/>
      </c>
      <c r="AQ35" s="34" t="str">
        <f t="shared" si="20"/>
        <v/>
      </c>
      <c r="AR35" s="34" t="str">
        <f t="shared" si="20"/>
        <v/>
      </c>
      <c r="AS35" s="34" t="str">
        <f t="shared" si="20"/>
        <v/>
      </c>
      <c r="AT35" s="34"/>
      <c r="AU35" s="34"/>
      <c r="AV35" s="34" t="str">
        <f t="shared" ref="AV35:AZ83" si="21">IF(AND(Type="M",Start=Date),"◆","")</f>
        <v/>
      </c>
      <c r="AW35" s="34" t="str">
        <f t="shared" si="21"/>
        <v/>
      </c>
      <c r="AX35" s="34" t="str">
        <f t="shared" si="21"/>
        <v/>
      </c>
      <c r="AY35" s="34" t="str">
        <f t="shared" si="21"/>
        <v/>
      </c>
      <c r="AZ35" s="34" t="str">
        <f t="shared" si="21"/>
        <v/>
      </c>
      <c r="BA35" s="34"/>
      <c r="BB35" s="34"/>
      <c r="BC35" s="34" t="str">
        <f t="shared" si="17"/>
        <v/>
      </c>
      <c r="BD35" s="34" t="str">
        <f t="shared" si="17"/>
        <v/>
      </c>
      <c r="BE35" s="34" t="str">
        <f t="shared" si="17"/>
        <v/>
      </c>
      <c r="BF35" s="34" t="str">
        <f t="shared" si="17"/>
        <v/>
      </c>
      <c r="BG35" s="34" t="str">
        <f t="shared" si="17"/>
        <v/>
      </c>
      <c r="BH35" s="34"/>
      <c r="BI35" s="34"/>
      <c r="BJ35" s="34"/>
      <c r="BK35" s="34"/>
      <c r="BL35" s="34"/>
      <c r="BM35" s="34"/>
      <c r="BN35" s="34"/>
      <c r="BO35" s="34"/>
      <c r="BP35" s="34"/>
    </row>
    <row r="36" spans="2:68" x14ac:dyDescent="0.25">
      <c r="B36" s="32">
        <f t="shared" ref="B36:B100" si="22">B35+1</f>
        <v>27</v>
      </c>
      <c r="C36" s="33" t="s">
        <v>1</v>
      </c>
      <c r="D36" s="34" t="s">
        <v>501</v>
      </c>
      <c r="E36" s="34"/>
      <c r="F36" s="40"/>
      <c r="G36" s="33">
        <f>SUM(G37:G42)</f>
        <v>23</v>
      </c>
      <c r="H36" s="35">
        <f t="shared" si="16"/>
        <v>45903</v>
      </c>
      <c r="I36" s="35" cm="1">
        <f t="array" ref="I36">IF(G36&lt;&gt;"",WORKDAY(Start,Duration-1),IF(Type="M",WORKDAY(Start,Duration-1),""))</f>
        <v>45933</v>
      </c>
      <c r="J36" s="44" cm="1">
        <f t="array" ref="J36">SUM(J37:J42*G37:G42)/SUM(G37:G42)</f>
        <v>0</v>
      </c>
      <c r="K36" s="47"/>
      <c r="L36" s="34"/>
      <c r="M36" s="36" t="str">
        <f t="shared" si="14"/>
        <v/>
      </c>
      <c r="N36" s="34" t="str">
        <f t="shared" si="14"/>
        <v/>
      </c>
      <c r="O36" s="34" t="str">
        <f t="shared" si="14"/>
        <v/>
      </c>
      <c r="P36" s="34" t="str">
        <f t="shared" si="14"/>
        <v/>
      </c>
      <c r="Q36" s="34" t="str">
        <f t="shared" si="14"/>
        <v/>
      </c>
      <c r="R36" s="34" t="str">
        <f t="shared" ref="R36:S49" si="23">IF(AND(Type="M",Start=Date),"◆","")</f>
        <v/>
      </c>
      <c r="S36" s="34" t="str">
        <f t="shared" si="23"/>
        <v/>
      </c>
      <c r="T36" s="34" t="str">
        <f t="shared" si="19"/>
        <v/>
      </c>
      <c r="U36" s="34" t="str">
        <f t="shared" si="19"/>
        <v/>
      </c>
      <c r="V36" s="34" t="str">
        <f t="shared" si="19"/>
        <v/>
      </c>
      <c r="W36" s="34" t="str">
        <f t="shared" si="19"/>
        <v/>
      </c>
      <c r="X36" s="34" t="str">
        <f t="shared" si="19"/>
        <v/>
      </c>
      <c r="Y36" s="34" t="str">
        <f t="shared" ref="Y36:AF49" si="24">IF(AND(Type="M",Start=Date),"◆","")</f>
        <v/>
      </c>
      <c r="Z36" s="34" t="str">
        <f t="shared" si="24"/>
        <v/>
      </c>
      <c r="AA36" s="34" t="str">
        <f t="shared" si="15"/>
        <v/>
      </c>
      <c r="AB36" s="34" t="str">
        <f t="shared" si="15"/>
        <v/>
      </c>
      <c r="AC36" s="34" t="str">
        <f t="shared" si="15"/>
        <v/>
      </c>
      <c r="AD36" s="34" t="str">
        <f t="shared" si="15"/>
        <v/>
      </c>
      <c r="AE36" s="34" t="str">
        <f t="shared" si="15"/>
        <v/>
      </c>
      <c r="AF36" s="34" t="str">
        <f t="shared" si="24"/>
        <v/>
      </c>
      <c r="AG36" s="34" t="str">
        <f t="shared" ref="AG36:AN49" si="25">IF(AND(Type="M",Start=Date),"◆","")</f>
        <v/>
      </c>
      <c r="AH36" s="34" t="str">
        <f t="shared" si="18"/>
        <v/>
      </c>
      <c r="AI36" s="34" t="str">
        <f t="shared" si="18"/>
        <v/>
      </c>
      <c r="AJ36" s="34" t="str">
        <f t="shared" si="18"/>
        <v/>
      </c>
      <c r="AK36" s="34" t="str">
        <f t="shared" si="18"/>
        <v/>
      </c>
      <c r="AL36" s="34" t="str">
        <f t="shared" si="18"/>
        <v/>
      </c>
      <c r="AM36" s="34" t="str">
        <f t="shared" si="25"/>
        <v/>
      </c>
      <c r="AN36" s="34" t="str">
        <f t="shared" si="25"/>
        <v/>
      </c>
      <c r="AO36" s="34" t="str">
        <f t="shared" si="20"/>
        <v/>
      </c>
      <c r="AP36" s="34" t="str">
        <f t="shared" si="20"/>
        <v/>
      </c>
      <c r="AQ36" s="34" t="str">
        <f t="shared" si="20"/>
        <v/>
      </c>
      <c r="AR36" s="34" t="str">
        <f t="shared" si="20"/>
        <v/>
      </c>
      <c r="AS36" s="34" t="str">
        <f t="shared" si="20"/>
        <v/>
      </c>
      <c r="AT36" s="34" t="str">
        <f t="shared" ref="AT36:AU49" si="26">IF(AND(Type="M",Start=Date),"◆","")</f>
        <v/>
      </c>
      <c r="AU36" s="34" t="str">
        <f t="shared" si="26"/>
        <v/>
      </c>
      <c r="AV36" s="34" t="str">
        <f t="shared" si="21"/>
        <v/>
      </c>
      <c r="AW36" s="34" t="str">
        <f t="shared" si="21"/>
        <v/>
      </c>
      <c r="AX36" s="34" t="str">
        <f t="shared" si="21"/>
        <v/>
      </c>
      <c r="AY36" s="34" t="str">
        <f t="shared" si="21"/>
        <v/>
      </c>
      <c r="AZ36" s="34" t="str">
        <f t="shared" si="21"/>
        <v/>
      </c>
      <c r="BA36" s="34" t="str">
        <f t="shared" ref="BA36:BJ49" si="27">IF(AND(Type="M",Start=Date),"◆","")</f>
        <v/>
      </c>
      <c r="BB36" s="34" t="str">
        <f t="shared" si="27"/>
        <v/>
      </c>
      <c r="BC36" s="34" t="str">
        <f t="shared" si="17"/>
        <v/>
      </c>
      <c r="BD36" s="34" t="str">
        <f t="shared" si="17"/>
        <v/>
      </c>
      <c r="BE36" s="34" t="str">
        <f t="shared" si="17"/>
        <v/>
      </c>
      <c r="BF36" s="34" t="str">
        <f t="shared" si="17"/>
        <v/>
      </c>
      <c r="BG36" s="34" t="str">
        <f t="shared" si="17"/>
        <v/>
      </c>
      <c r="BH36" s="34" t="str">
        <f t="shared" si="27"/>
        <v/>
      </c>
      <c r="BI36" s="34" t="str">
        <f t="shared" si="27"/>
        <v/>
      </c>
      <c r="BJ36" s="34" t="str">
        <f t="shared" si="27"/>
        <v/>
      </c>
      <c r="BK36" s="34" t="str">
        <f t="shared" ref="BK36:BP49" si="28">IF(AND(Type="M",Start=Date),"◆","")</f>
        <v/>
      </c>
      <c r="BL36" s="34" t="str">
        <f t="shared" si="28"/>
        <v/>
      </c>
      <c r="BM36" s="34" t="str">
        <f t="shared" si="28"/>
        <v/>
      </c>
      <c r="BN36" s="34" t="str">
        <f t="shared" si="28"/>
        <v/>
      </c>
      <c r="BO36" s="34" t="str">
        <f t="shared" si="28"/>
        <v/>
      </c>
      <c r="BP36" s="34" t="str">
        <f t="shared" si="28"/>
        <v/>
      </c>
    </row>
    <row r="37" spans="2:68" outlineLevel="1" x14ac:dyDescent="0.25">
      <c r="B37" s="32">
        <f t="shared" si="22"/>
        <v>28</v>
      </c>
      <c r="C37" s="33" t="s">
        <v>5</v>
      </c>
      <c r="D37" s="34" t="s">
        <v>505</v>
      </c>
      <c r="E37" s="34"/>
      <c r="F37" s="40"/>
      <c r="G37" s="33">
        <v>5</v>
      </c>
      <c r="H37" s="35">
        <f>H36</f>
        <v>45903</v>
      </c>
      <c r="I37" s="35" cm="1">
        <f t="array" ref="I37">IF(G37&lt;&gt;"",WORKDAY(Start,Duration-1),IF(Type="M",WORKDAY(Start,Duration-1),""))</f>
        <v>45909</v>
      </c>
      <c r="J37" s="44"/>
      <c r="K37" s="47"/>
      <c r="L37" s="34"/>
      <c r="M37" s="36" t="str">
        <f t="shared" si="14"/>
        <v/>
      </c>
      <c r="N37" s="34" t="str">
        <f t="shared" si="14"/>
        <v/>
      </c>
      <c r="O37" s="34" t="str">
        <f t="shared" si="14"/>
        <v/>
      </c>
      <c r="P37" s="34" t="str">
        <f t="shared" si="14"/>
        <v/>
      </c>
      <c r="Q37" s="34" t="str">
        <f t="shared" si="14"/>
        <v/>
      </c>
      <c r="R37" s="34" t="str">
        <f t="shared" si="23"/>
        <v/>
      </c>
      <c r="S37" s="34" t="str">
        <f t="shared" si="23"/>
        <v/>
      </c>
      <c r="T37" s="34" t="str">
        <f t="shared" si="19"/>
        <v/>
      </c>
      <c r="U37" s="34" t="str">
        <f t="shared" si="19"/>
        <v/>
      </c>
      <c r="V37" s="34" t="str">
        <f t="shared" si="19"/>
        <v/>
      </c>
      <c r="W37" s="34" t="str">
        <f t="shared" si="19"/>
        <v/>
      </c>
      <c r="X37" s="34" t="str">
        <f t="shared" si="19"/>
        <v/>
      </c>
      <c r="Y37" s="34" t="str">
        <f t="shared" si="24"/>
        <v/>
      </c>
      <c r="Z37" s="34" t="str">
        <f t="shared" si="24"/>
        <v/>
      </c>
      <c r="AA37" s="34" t="str">
        <f t="shared" si="15"/>
        <v/>
      </c>
      <c r="AB37" s="34" t="str">
        <f t="shared" si="15"/>
        <v/>
      </c>
      <c r="AC37" s="34" t="str">
        <f t="shared" si="15"/>
        <v/>
      </c>
      <c r="AD37" s="34" t="str">
        <f t="shared" si="15"/>
        <v/>
      </c>
      <c r="AE37" s="34" t="str">
        <f t="shared" si="15"/>
        <v/>
      </c>
      <c r="AF37" s="34" t="str">
        <f t="shared" si="24"/>
        <v/>
      </c>
      <c r="AG37" s="34" t="str">
        <f t="shared" si="25"/>
        <v/>
      </c>
      <c r="AH37" s="34" t="str">
        <f t="shared" si="18"/>
        <v/>
      </c>
      <c r="AI37" s="34" t="str">
        <f t="shared" si="18"/>
        <v/>
      </c>
      <c r="AJ37" s="34" t="str">
        <f t="shared" si="18"/>
        <v/>
      </c>
      <c r="AK37" s="34" t="str">
        <f t="shared" si="18"/>
        <v/>
      </c>
      <c r="AL37" s="34" t="str">
        <f t="shared" si="18"/>
        <v/>
      </c>
      <c r="AM37" s="34" t="str">
        <f t="shared" si="25"/>
        <v/>
      </c>
      <c r="AN37" s="34" t="str">
        <f t="shared" si="25"/>
        <v/>
      </c>
      <c r="AO37" s="34" t="str">
        <f t="shared" si="20"/>
        <v/>
      </c>
      <c r="AP37" s="34" t="str">
        <f t="shared" si="20"/>
        <v/>
      </c>
      <c r="AQ37" s="34" t="str">
        <f t="shared" si="20"/>
        <v/>
      </c>
      <c r="AR37" s="34" t="str">
        <f t="shared" si="20"/>
        <v/>
      </c>
      <c r="AS37" s="34" t="str">
        <f t="shared" si="20"/>
        <v/>
      </c>
      <c r="AT37" s="34" t="str">
        <f t="shared" si="26"/>
        <v/>
      </c>
      <c r="AU37" s="34" t="str">
        <f t="shared" si="26"/>
        <v/>
      </c>
      <c r="AV37" s="34" t="str">
        <f t="shared" si="21"/>
        <v/>
      </c>
      <c r="AW37" s="34" t="str">
        <f t="shared" si="21"/>
        <v/>
      </c>
      <c r="AX37" s="34" t="str">
        <f t="shared" si="21"/>
        <v/>
      </c>
      <c r="AY37" s="34" t="str">
        <f t="shared" si="21"/>
        <v/>
      </c>
      <c r="AZ37" s="34" t="str">
        <f t="shared" si="21"/>
        <v/>
      </c>
      <c r="BA37" s="34" t="str">
        <f t="shared" si="27"/>
        <v/>
      </c>
      <c r="BB37" s="34" t="str">
        <f t="shared" si="27"/>
        <v/>
      </c>
      <c r="BC37" s="34" t="str">
        <f t="shared" si="17"/>
        <v/>
      </c>
      <c r="BD37" s="34" t="str">
        <f t="shared" si="17"/>
        <v/>
      </c>
      <c r="BE37" s="34" t="str">
        <f t="shared" si="17"/>
        <v/>
      </c>
      <c r="BF37" s="34" t="str">
        <f t="shared" si="17"/>
        <v/>
      </c>
      <c r="BG37" s="34" t="str">
        <f t="shared" si="17"/>
        <v/>
      </c>
      <c r="BH37" s="34" t="str">
        <f t="shared" si="27"/>
        <v/>
      </c>
      <c r="BI37" s="34" t="str">
        <f t="shared" si="27"/>
        <v/>
      </c>
      <c r="BJ37" s="34" t="str">
        <f t="shared" si="27"/>
        <v/>
      </c>
      <c r="BK37" s="34" t="str">
        <f t="shared" si="28"/>
        <v/>
      </c>
      <c r="BL37" s="34" t="str">
        <f t="shared" si="28"/>
        <v/>
      </c>
      <c r="BM37" s="34" t="str">
        <f t="shared" si="28"/>
        <v/>
      </c>
      <c r="BN37" s="34" t="str">
        <f t="shared" si="28"/>
        <v/>
      </c>
      <c r="BO37" s="34" t="str">
        <f t="shared" si="28"/>
        <v/>
      </c>
      <c r="BP37" s="34" t="str">
        <f t="shared" si="28"/>
        <v/>
      </c>
    </row>
    <row r="38" spans="2:68" outlineLevel="1" x14ac:dyDescent="0.25">
      <c r="B38" s="32">
        <f t="shared" si="22"/>
        <v>29</v>
      </c>
      <c r="C38" s="33" t="s">
        <v>5</v>
      </c>
      <c r="D38" s="34" t="s">
        <v>506</v>
      </c>
      <c r="E38" s="34"/>
      <c r="F38" s="40"/>
      <c r="G38" s="33">
        <v>5</v>
      </c>
      <c r="H38" s="35">
        <f t="shared" ref="H38:H43" si="29">IF(Type&lt;&gt;"M",WORKDAY(I37,1),I37)</f>
        <v>45910</v>
      </c>
      <c r="I38" s="35" cm="1">
        <f t="array" ref="I38">IF(G38&lt;&gt;"",WORKDAY(Start,Duration-1),IF(Type="M",WORKDAY(Start,Duration-1),""))</f>
        <v>45916</v>
      </c>
      <c r="J38" s="44"/>
      <c r="K38" s="47"/>
      <c r="L38" s="34"/>
      <c r="M38" s="36" t="str">
        <f t="shared" si="14"/>
        <v/>
      </c>
      <c r="N38" s="34" t="str">
        <f t="shared" si="14"/>
        <v/>
      </c>
      <c r="O38" s="34" t="str">
        <f t="shared" si="14"/>
        <v/>
      </c>
      <c r="P38" s="34" t="str">
        <f t="shared" si="14"/>
        <v/>
      </c>
      <c r="Q38" s="34" t="str">
        <f t="shared" si="14"/>
        <v/>
      </c>
      <c r="R38" s="34" t="str">
        <f t="shared" si="23"/>
        <v/>
      </c>
      <c r="S38" s="34" t="str">
        <f t="shared" si="23"/>
        <v/>
      </c>
      <c r="T38" s="34" t="str">
        <f t="shared" si="19"/>
        <v/>
      </c>
      <c r="U38" s="34" t="str">
        <f t="shared" si="19"/>
        <v/>
      </c>
      <c r="V38" s="34" t="str">
        <f t="shared" si="19"/>
        <v/>
      </c>
      <c r="W38" s="34" t="str">
        <f t="shared" si="19"/>
        <v/>
      </c>
      <c r="X38" s="34" t="str">
        <f t="shared" si="19"/>
        <v/>
      </c>
      <c r="Y38" s="34" t="str">
        <f t="shared" si="24"/>
        <v/>
      </c>
      <c r="Z38" s="34" t="str">
        <f t="shared" si="24"/>
        <v/>
      </c>
      <c r="AA38" s="34" t="str">
        <f t="shared" si="15"/>
        <v/>
      </c>
      <c r="AB38" s="34" t="str">
        <f t="shared" si="15"/>
        <v/>
      </c>
      <c r="AC38" s="34" t="str">
        <f t="shared" si="15"/>
        <v/>
      </c>
      <c r="AD38" s="34" t="str">
        <f t="shared" si="15"/>
        <v/>
      </c>
      <c r="AE38" s="34" t="str">
        <f t="shared" si="15"/>
        <v/>
      </c>
      <c r="AF38" s="34" t="str">
        <f t="shared" si="24"/>
        <v/>
      </c>
      <c r="AG38" s="34" t="str">
        <f t="shared" si="25"/>
        <v/>
      </c>
      <c r="AH38" s="34" t="str">
        <f t="shared" si="18"/>
        <v/>
      </c>
      <c r="AI38" s="34" t="str">
        <f t="shared" si="18"/>
        <v/>
      </c>
      <c r="AJ38" s="34" t="str">
        <f t="shared" si="18"/>
        <v/>
      </c>
      <c r="AK38" s="34" t="str">
        <f t="shared" si="18"/>
        <v/>
      </c>
      <c r="AL38" s="34" t="str">
        <f t="shared" si="18"/>
        <v/>
      </c>
      <c r="AM38" s="34" t="str">
        <f t="shared" si="25"/>
        <v/>
      </c>
      <c r="AN38" s="34" t="str">
        <f t="shared" si="25"/>
        <v/>
      </c>
      <c r="AO38" s="34" t="str">
        <f t="shared" si="20"/>
        <v/>
      </c>
      <c r="AP38" s="34" t="str">
        <f t="shared" si="20"/>
        <v/>
      </c>
      <c r="AQ38" s="34" t="str">
        <f t="shared" si="20"/>
        <v/>
      </c>
      <c r="AR38" s="34" t="str">
        <f t="shared" si="20"/>
        <v/>
      </c>
      <c r="AS38" s="34" t="str">
        <f t="shared" si="20"/>
        <v/>
      </c>
      <c r="AT38" s="34" t="str">
        <f t="shared" si="26"/>
        <v/>
      </c>
      <c r="AU38" s="34" t="str">
        <f t="shared" si="26"/>
        <v/>
      </c>
      <c r="AV38" s="34" t="str">
        <f t="shared" si="21"/>
        <v/>
      </c>
      <c r="AW38" s="34" t="str">
        <f t="shared" si="21"/>
        <v/>
      </c>
      <c r="AX38" s="34" t="str">
        <f t="shared" si="21"/>
        <v/>
      </c>
      <c r="AY38" s="34" t="str">
        <f t="shared" si="21"/>
        <v/>
      </c>
      <c r="AZ38" s="34" t="str">
        <f t="shared" si="21"/>
        <v/>
      </c>
      <c r="BA38" s="34" t="str">
        <f t="shared" si="27"/>
        <v/>
      </c>
      <c r="BB38" s="34" t="str">
        <f t="shared" si="27"/>
        <v/>
      </c>
      <c r="BC38" s="34" t="str">
        <f t="shared" si="17"/>
        <v/>
      </c>
      <c r="BD38" s="34" t="str">
        <f t="shared" si="17"/>
        <v/>
      </c>
      <c r="BE38" s="34" t="str">
        <f t="shared" si="17"/>
        <v/>
      </c>
      <c r="BF38" s="34" t="str">
        <f t="shared" si="17"/>
        <v/>
      </c>
      <c r="BG38" s="34" t="str">
        <f t="shared" si="17"/>
        <v/>
      </c>
      <c r="BH38" s="34" t="str">
        <f t="shared" si="27"/>
        <v/>
      </c>
      <c r="BI38" s="34" t="str">
        <f t="shared" si="27"/>
        <v/>
      </c>
      <c r="BJ38" s="34" t="str">
        <f t="shared" si="27"/>
        <v/>
      </c>
      <c r="BK38" s="34" t="str">
        <f t="shared" si="28"/>
        <v/>
      </c>
      <c r="BL38" s="34" t="str">
        <f t="shared" si="28"/>
        <v/>
      </c>
      <c r="BM38" s="34" t="str">
        <f t="shared" si="28"/>
        <v/>
      </c>
      <c r="BN38" s="34" t="str">
        <f t="shared" si="28"/>
        <v/>
      </c>
      <c r="BO38" s="34" t="str">
        <f t="shared" si="28"/>
        <v/>
      </c>
      <c r="BP38" s="34" t="str">
        <f t="shared" si="28"/>
        <v/>
      </c>
    </row>
    <row r="39" spans="2:68" outlineLevel="1" x14ac:dyDescent="0.25">
      <c r="B39" s="32">
        <f t="shared" si="22"/>
        <v>30</v>
      </c>
      <c r="C39" s="33" t="s">
        <v>5</v>
      </c>
      <c r="D39" s="34" t="s">
        <v>507</v>
      </c>
      <c r="E39" s="34"/>
      <c r="F39" s="40"/>
      <c r="G39" s="33">
        <v>5</v>
      </c>
      <c r="H39" s="35">
        <f t="shared" si="29"/>
        <v>45917</v>
      </c>
      <c r="I39" s="35" cm="1">
        <f t="array" ref="I39">IF(G39&lt;&gt;"",WORKDAY(Start,Duration-1),IF(Type="M",WORKDAY(Start,Duration-1),""))</f>
        <v>45923</v>
      </c>
      <c r="J39" s="44"/>
      <c r="K39" s="47"/>
      <c r="L39" s="34"/>
      <c r="M39" s="36" t="str">
        <f t="shared" si="14"/>
        <v/>
      </c>
      <c r="N39" s="34" t="str">
        <f t="shared" si="14"/>
        <v/>
      </c>
      <c r="O39" s="34" t="str">
        <f t="shared" si="14"/>
        <v/>
      </c>
      <c r="P39" s="34" t="str">
        <f t="shared" si="14"/>
        <v/>
      </c>
      <c r="Q39" s="34" t="str">
        <f t="shared" si="14"/>
        <v/>
      </c>
      <c r="R39" s="34" t="str">
        <f t="shared" si="23"/>
        <v/>
      </c>
      <c r="S39" s="34" t="str">
        <f t="shared" si="23"/>
        <v/>
      </c>
      <c r="T39" s="34" t="str">
        <f t="shared" si="19"/>
        <v/>
      </c>
      <c r="U39" s="34" t="str">
        <f t="shared" si="19"/>
        <v/>
      </c>
      <c r="V39" s="34" t="str">
        <f t="shared" si="19"/>
        <v/>
      </c>
      <c r="W39" s="34" t="str">
        <f t="shared" si="19"/>
        <v/>
      </c>
      <c r="X39" s="34" t="str">
        <f t="shared" si="19"/>
        <v/>
      </c>
      <c r="Y39" s="34" t="str">
        <f t="shared" si="24"/>
        <v/>
      </c>
      <c r="Z39" s="34" t="str">
        <f t="shared" si="24"/>
        <v/>
      </c>
      <c r="AA39" s="34" t="str">
        <f t="shared" si="15"/>
        <v/>
      </c>
      <c r="AB39" s="34" t="str">
        <f t="shared" si="15"/>
        <v/>
      </c>
      <c r="AC39" s="34" t="str">
        <f t="shared" si="15"/>
        <v/>
      </c>
      <c r="AD39" s="34" t="str">
        <f t="shared" si="15"/>
        <v/>
      </c>
      <c r="AE39" s="34" t="str">
        <f t="shared" si="15"/>
        <v/>
      </c>
      <c r="AF39" s="34" t="str">
        <f t="shared" si="24"/>
        <v/>
      </c>
      <c r="AG39" s="34" t="str">
        <f t="shared" si="25"/>
        <v/>
      </c>
      <c r="AH39" s="34" t="str">
        <f t="shared" si="18"/>
        <v/>
      </c>
      <c r="AI39" s="34" t="str">
        <f t="shared" si="18"/>
        <v/>
      </c>
      <c r="AJ39" s="34" t="str">
        <f t="shared" si="18"/>
        <v/>
      </c>
      <c r="AK39" s="34" t="str">
        <f t="shared" si="18"/>
        <v/>
      </c>
      <c r="AL39" s="34" t="str">
        <f t="shared" si="18"/>
        <v/>
      </c>
      <c r="AM39" s="34" t="str">
        <f t="shared" si="25"/>
        <v/>
      </c>
      <c r="AN39" s="34" t="str">
        <f t="shared" si="25"/>
        <v/>
      </c>
      <c r="AO39" s="34" t="str">
        <f t="shared" si="20"/>
        <v/>
      </c>
      <c r="AP39" s="34" t="str">
        <f t="shared" si="20"/>
        <v/>
      </c>
      <c r="AQ39" s="34" t="str">
        <f t="shared" si="20"/>
        <v/>
      </c>
      <c r="AR39" s="34" t="str">
        <f t="shared" si="20"/>
        <v/>
      </c>
      <c r="AS39" s="34" t="str">
        <f t="shared" si="20"/>
        <v/>
      </c>
      <c r="AT39" s="34" t="str">
        <f t="shared" si="26"/>
        <v/>
      </c>
      <c r="AU39" s="34" t="str">
        <f t="shared" si="26"/>
        <v/>
      </c>
      <c r="AV39" s="34" t="str">
        <f t="shared" si="21"/>
        <v/>
      </c>
      <c r="AW39" s="34" t="str">
        <f t="shared" si="21"/>
        <v/>
      </c>
      <c r="AX39" s="34" t="str">
        <f t="shared" si="21"/>
        <v/>
      </c>
      <c r="AY39" s="34" t="str">
        <f t="shared" si="21"/>
        <v/>
      </c>
      <c r="AZ39" s="34" t="str">
        <f t="shared" si="21"/>
        <v/>
      </c>
      <c r="BA39" s="34" t="str">
        <f t="shared" si="27"/>
        <v/>
      </c>
      <c r="BB39" s="34" t="str">
        <f t="shared" si="27"/>
        <v/>
      </c>
      <c r="BC39" s="34" t="str">
        <f t="shared" si="17"/>
        <v/>
      </c>
      <c r="BD39" s="34" t="str">
        <f t="shared" si="17"/>
        <v/>
      </c>
      <c r="BE39" s="34" t="str">
        <f t="shared" si="17"/>
        <v/>
      </c>
      <c r="BF39" s="34" t="str">
        <f t="shared" si="17"/>
        <v/>
      </c>
      <c r="BG39" s="34" t="str">
        <f t="shared" si="17"/>
        <v/>
      </c>
      <c r="BH39" s="34" t="str">
        <f t="shared" si="27"/>
        <v/>
      </c>
      <c r="BI39" s="34" t="str">
        <f t="shared" si="27"/>
        <v/>
      </c>
      <c r="BJ39" s="34" t="str">
        <f t="shared" si="27"/>
        <v/>
      </c>
      <c r="BK39" s="34" t="str">
        <f t="shared" si="28"/>
        <v/>
      </c>
      <c r="BL39" s="34" t="str">
        <f t="shared" si="28"/>
        <v/>
      </c>
      <c r="BM39" s="34" t="str">
        <f t="shared" si="28"/>
        <v/>
      </c>
      <c r="BN39" s="34" t="str">
        <f t="shared" si="28"/>
        <v/>
      </c>
      <c r="BO39" s="34" t="str">
        <f t="shared" si="28"/>
        <v/>
      </c>
      <c r="BP39" s="34" t="str">
        <f t="shared" si="28"/>
        <v/>
      </c>
    </row>
    <row r="40" spans="2:68" outlineLevel="1" x14ac:dyDescent="0.25">
      <c r="B40" s="32">
        <f t="shared" si="22"/>
        <v>31</v>
      </c>
      <c r="C40" s="33" t="s">
        <v>5</v>
      </c>
      <c r="D40" s="34" t="s">
        <v>508</v>
      </c>
      <c r="E40" s="34"/>
      <c r="F40" s="40"/>
      <c r="G40" s="33">
        <v>3</v>
      </c>
      <c r="H40" s="35">
        <f t="shared" si="29"/>
        <v>45924</v>
      </c>
      <c r="I40" s="35" cm="1">
        <f t="array" ref="I40">IF(G40&lt;&gt;"",WORKDAY(Start,Duration-1),IF(Type="M",WORKDAY(Start,Duration-1),""))</f>
        <v>45926</v>
      </c>
      <c r="J40" s="44"/>
      <c r="K40" s="47"/>
      <c r="L40" s="34"/>
      <c r="M40" s="36" t="str">
        <f t="shared" si="14"/>
        <v/>
      </c>
      <c r="N40" s="34" t="str">
        <f t="shared" si="14"/>
        <v/>
      </c>
      <c r="O40" s="34" t="str">
        <f t="shared" si="14"/>
        <v/>
      </c>
      <c r="P40" s="34" t="str">
        <f t="shared" si="14"/>
        <v/>
      </c>
      <c r="Q40" s="34" t="str">
        <f t="shared" si="14"/>
        <v/>
      </c>
      <c r="R40" s="34" t="str">
        <f t="shared" si="23"/>
        <v/>
      </c>
      <c r="S40" s="34" t="str">
        <f t="shared" si="23"/>
        <v/>
      </c>
      <c r="T40" s="34" t="str">
        <f t="shared" si="19"/>
        <v/>
      </c>
      <c r="U40" s="34" t="str">
        <f t="shared" si="19"/>
        <v/>
      </c>
      <c r="V40" s="34" t="str">
        <f t="shared" si="19"/>
        <v/>
      </c>
      <c r="W40" s="34" t="str">
        <f t="shared" si="19"/>
        <v/>
      </c>
      <c r="X40" s="34" t="str">
        <f t="shared" si="19"/>
        <v/>
      </c>
      <c r="Y40" s="34" t="str">
        <f t="shared" si="24"/>
        <v/>
      </c>
      <c r="Z40" s="34" t="str">
        <f t="shared" si="24"/>
        <v/>
      </c>
      <c r="AA40" s="34" t="str">
        <f t="shared" si="15"/>
        <v/>
      </c>
      <c r="AB40" s="34" t="str">
        <f t="shared" si="15"/>
        <v/>
      </c>
      <c r="AC40" s="34" t="str">
        <f t="shared" si="15"/>
        <v/>
      </c>
      <c r="AD40" s="34" t="str">
        <f t="shared" si="15"/>
        <v/>
      </c>
      <c r="AE40" s="34" t="str">
        <f t="shared" si="15"/>
        <v/>
      </c>
      <c r="AF40" s="34" t="str">
        <f t="shared" si="24"/>
        <v/>
      </c>
      <c r="AG40" s="34" t="str">
        <f t="shared" si="25"/>
        <v/>
      </c>
      <c r="AH40" s="34" t="str">
        <f t="shared" si="18"/>
        <v/>
      </c>
      <c r="AI40" s="34" t="str">
        <f t="shared" si="18"/>
        <v/>
      </c>
      <c r="AJ40" s="34" t="str">
        <f t="shared" si="18"/>
        <v/>
      </c>
      <c r="AK40" s="34" t="str">
        <f t="shared" si="18"/>
        <v/>
      </c>
      <c r="AL40" s="34" t="str">
        <f t="shared" si="18"/>
        <v/>
      </c>
      <c r="AM40" s="34" t="str">
        <f t="shared" si="25"/>
        <v/>
      </c>
      <c r="AN40" s="34" t="str">
        <f t="shared" si="25"/>
        <v/>
      </c>
      <c r="AO40" s="34" t="str">
        <f t="shared" si="20"/>
        <v/>
      </c>
      <c r="AP40" s="34" t="str">
        <f t="shared" si="20"/>
        <v/>
      </c>
      <c r="AQ40" s="34" t="str">
        <f t="shared" si="20"/>
        <v/>
      </c>
      <c r="AR40" s="34" t="str">
        <f t="shared" si="20"/>
        <v/>
      </c>
      <c r="AS40" s="34" t="str">
        <f t="shared" si="20"/>
        <v/>
      </c>
      <c r="AT40" s="34" t="str">
        <f t="shared" si="26"/>
        <v/>
      </c>
      <c r="AU40" s="34" t="str">
        <f t="shared" si="26"/>
        <v/>
      </c>
      <c r="AV40" s="34" t="str">
        <f t="shared" si="21"/>
        <v/>
      </c>
      <c r="AW40" s="34" t="str">
        <f t="shared" si="21"/>
        <v/>
      </c>
      <c r="AX40" s="34" t="str">
        <f t="shared" si="21"/>
        <v/>
      </c>
      <c r="AY40" s="34" t="str">
        <f t="shared" si="21"/>
        <v/>
      </c>
      <c r="AZ40" s="34" t="str">
        <f t="shared" si="21"/>
        <v/>
      </c>
      <c r="BA40" s="34" t="str">
        <f t="shared" si="27"/>
        <v/>
      </c>
      <c r="BB40" s="34" t="str">
        <f t="shared" si="27"/>
        <v/>
      </c>
      <c r="BC40" s="34" t="str">
        <f t="shared" si="17"/>
        <v/>
      </c>
      <c r="BD40" s="34" t="str">
        <f t="shared" si="17"/>
        <v/>
      </c>
      <c r="BE40" s="34" t="str">
        <f t="shared" si="17"/>
        <v/>
      </c>
      <c r="BF40" s="34" t="str">
        <f t="shared" si="17"/>
        <v/>
      </c>
      <c r="BG40" s="34" t="str">
        <f t="shared" si="17"/>
        <v/>
      </c>
      <c r="BH40" s="34" t="str">
        <f t="shared" si="27"/>
        <v/>
      </c>
      <c r="BI40" s="34" t="str">
        <f t="shared" si="27"/>
        <v/>
      </c>
      <c r="BJ40" s="34" t="str">
        <f t="shared" si="27"/>
        <v/>
      </c>
      <c r="BK40" s="34" t="str">
        <f t="shared" si="28"/>
        <v/>
      </c>
      <c r="BL40" s="34" t="str">
        <f t="shared" si="28"/>
        <v/>
      </c>
      <c r="BM40" s="34" t="str">
        <f t="shared" si="28"/>
        <v/>
      </c>
      <c r="BN40" s="34" t="str">
        <f t="shared" si="28"/>
        <v/>
      </c>
      <c r="BO40" s="34" t="str">
        <f t="shared" si="28"/>
        <v/>
      </c>
      <c r="BP40" s="34" t="str">
        <f t="shared" si="28"/>
        <v/>
      </c>
    </row>
    <row r="41" spans="2:68" outlineLevel="1" x14ac:dyDescent="0.25">
      <c r="B41" s="32">
        <f t="shared" si="22"/>
        <v>32</v>
      </c>
      <c r="C41" s="33" t="s">
        <v>5</v>
      </c>
      <c r="D41" s="34" t="s">
        <v>509</v>
      </c>
      <c r="E41" s="34"/>
      <c r="F41" s="40"/>
      <c r="G41" s="33">
        <v>3</v>
      </c>
      <c r="H41" s="35">
        <f t="shared" si="29"/>
        <v>45929</v>
      </c>
      <c r="I41" s="35" cm="1">
        <f t="array" ref="I41">IF(G41&lt;&gt;"",WORKDAY(Start,Duration-1),IF(Type="M",WORKDAY(Start,Duration-1),""))</f>
        <v>45931</v>
      </c>
      <c r="J41" s="44"/>
      <c r="K41" s="47"/>
      <c r="L41" s="34"/>
      <c r="M41" s="36" t="str">
        <f t="shared" si="14"/>
        <v/>
      </c>
      <c r="N41" s="34" t="str">
        <f t="shared" si="14"/>
        <v/>
      </c>
      <c r="O41" s="34" t="str">
        <f t="shared" si="14"/>
        <v/>
      </c>
      <c r="P41" s="34" t="str">
        <f t="shared" si="14"/>
        <v/>
      </c>
      <c r="Q41" s="34" t="str">
        <f t="shared" si="14"/>
        <v/>
      </c>
      <c r="R41" s="34"/>
      <c r="S41" s="34"/>
      <c r="T41" s="34" t="str">
        <f t="shared" si="19"/>
        <v/>
      </c>
      <c r="U41" s="34" t="str">
        <f t="shared" si="19"/>
        <v/>
      </c>
      <c r="V41" s="34" t="str">
        <f t="shared" si="19"/>
        <v/>
      </c>
      <c r="W41" s="34" t="str">
        <f t="shared" si="19"/>
        <v/>
      </c>
      <c r="X41" s="34" t="str">
        <f t="shared" si="19"/>
        <v/>
      </c>
      <c r="Y41" s="34"/>
      <c r="Z41" s="34"/>
      <c r="AA41" s="34" t="str">
        <f t="shared" si="15"/>
        <v/>
      </c>
      <c r="AB41" s="34" t="str">
        <f t="shared" si="15"/>
        <v/>
      </c>
      <c r="AC41" s="34" t="str">
        <f t="shared" si="15"/>
        <v/>
      </c>
      <c r="AD41" s="34" t="str">
        <f t="shared" si="15"/>
        <v/>
      </c>
      <c r="AE41" s="34" t="str">
        <f t="shared" si="15"/>
        <v/>
      </c>
      <c r="AF41" s="34"/>
      <c r="AG41" s="34"/>
      <c r="AH41" s="34" t="str">
        <f t="shared" si="18"/>
        <v/>
      </c>
      <c r="AI41" s="34" t="str">
        <f t="shared" si="18"/>
        <v/>
      </c>
      <c r="AJ41" s="34" t="str">
        <f t="shared" si="18"/>
        <v/>
      </c>
      <c r="AK41" s="34" t="str">
        <f t="shared" si="18"/>
        <v/>
      </c>
      <c r="AL41" s="34" t="str">
        <f t="shared" si="18"/>
        <v/>
      </c>
      <c r="AM41" s="34"/>
      <c r="AN41" s="34"/>
      <c r="AO41" s="34" t="str">
        <f t="shared" si="20"/>
        <v/>
      </c>
      <c r="AP41" s="34" t="str">
        <f t="shared" si="20"/>
        <v/>
      </c>
      <c r="AQ41" s="34" t="str">
        <f t="shared" si="20"/>
        <v/>
      </c>
      <c r="AR41" s="34" t="str">
        <f t="shared" si="20"/>
        <v/>
      </c>
      <c r="AS41" s="34" t="str">
        <f t="shared" si="20"/>
        <v/>
      </c>
      <c r="AT41" s="34"/>
      <c r="AU41" s="34"/>
      <c r="AV41" s="34" t="str">
        <f t="shared" si="21"/>
        <v/>
      </c>
      <c r="AW41" s="34" t="str">
        <f t="shared" si="21"/>
        <v/>
      </c>
      <c r="AX41" s="34" t="str">
        <f t="shared" si="21"/>
        <v/>
      </c>
      <c r="AY41" s="34" t="str">
        <f t="shared" si="21"/>
        <v/>
      </c>
      <c r="AZ41" s="34" t="str">
        <f t="shared" si="21"/>
        <v/>
      </c>
      <c r="BA41" s="34"/>
      <c r="BB41" s="34"/>
      <c r="BC41" s="34" t="str">
        <f t="shared" si="17"/>
        <v/>
      </c>
      <c r="BD41" s="34" t="str">
        <f t="shared" si="17"/>
        <v/>
      </c>
      <c r="BE41" s="34" t="str">
        <f t="shared" si="17"/>
        <v/>
      </c>
      <c r="BF41" s="34" t="str">
        <f t="shared" si="17"/>
        <v/>
      </c>
      <c r="BG41" s="34" t="str">
        <f t="shared" si="17"/>
        <v/>
      </c>
      <c r="BH41" s="34"/>
      <c r="BI41" s="34"/>
      <c r="BJ41" s="34"/>
      <c r="BK41" s="34"/>
      <c r="BL41" s="34"/>
      <c r="BM41" s="34"/>
      <c r="BN41" s="34"/>
      <c r="BO41" s="34"/>
      <c r="BP41" s="34"/>
    </row>
    <row r="42" spans="2:68" outlineLevel="1" x14ac:dyDescent="0.25">
      <c r="B42" s="32">
        <f t="shared" si="22"/>
        <v>33</v>
      </c>
      <c r="C42" s="33" t="s">
        <v>5</v>
      </c>
      <c r="D42" s="34" t="s">
        <v>517</v>
      </c>
      <c r="E42" s="34"/>
      <c r="F42" s="40"/>
      <c r="G42" s="33">
        <v>2</v>
      </c>
      <c r="H42" s="35">
        <f t="shared" si="29"/>
        <v>45932</v>
      </c>
      <c r="I42" s="35" cm="1">
        <f t="array" ref="I42">IF(G42&lt;&gt;"",WORKDAY(Start,Duration-1),IF(Type="M",WORKDAY(Start,Duration-1),""))</f>
        <v>45933</v>
      </c>
      <c r="J42" s="44"/>
      <c r="K42" s="47"/>
      <c r="L42" s="34"/>
      <c r="M42" s="36" t="str">
        <f t="shared" si="14"/>
        <v/>
      </c>
      <c r="N42" s="34" t="str">
        <f t="shared" si="14"/>
        <v/>
      </c>
      <c r="O42" s="34" t="str">
        <f t="shared" si="14"/>
        <v/>
      </c>
      <c r="P42" s="34" t="str">
        <f t="shared" si="14"/>
        <v/>
      </c>
      <c r="Q42" s="34" t="str">
        <f t="shared" si="14"/>
        <v/>
      </c>
      <c r="R42" s="34" t="str">
        <f t="shared" si="23"/>
        <v/>
      </c>
      <c r="S42" s="34" t="str">
        <f t="shared" si="23"/>
        <v/>
      </c>
      <c r="T42" s="34" t="str">
        <f t="shared" si="19"/>
        <v/>
      </c>
      <c r="U42" s="34" t="str">
        <f t="shared" si="19"/>
        <v/>
      </c>
      <c r="V42" s="34" t="str">
        <f t="shared" si="19"/>
        <v/>
      </c>
      <c r="W42" s="34" t="str">
        <f t="shared" si="19"/>
        <v/>
      </c>
      <c r="X42" s="34" t="str">
        <f t="shared" si="19"/>
        <v/>
      </c>
      <c r="Y42" s="34" t="str">
        <f t="shared" si="24"/>
        <v/>
      </c>
      <c r="Z42" s="34" t="str">
        <f t="shared" si="24"/>
        <v/>
      </c>
      <c r="AA42" s="34" t="str">
        <f t="shared" si="15"/>
        <v/>
      </c>
      <c r="AB42" s="34" t="str">
        <f t="shared" si="15"/>
        <v/>
      </c>
      <c r="AC42" s="34" t="str">
        <f t="shared" si="15"/>
        <v/>
      </c>
      <c r="AD42" s="34" t="str">
        <f t="shared" si="15"/>
        <v/>
      </c>
      <c r="AE42" s="34" t="str">
        <f t="shared" si="15"/>
        <v/>
      </c>
      <c r="AF42" s="34" t="str">
        <f t="shared" si="24"/>
        <v/>
      </c>
      <c r="AG42" s="34" t="str">
        <f t="shared" si="25"/>
        <v/>
      </c>
      <c r="AH42" s="34" t="str">
        <f t="shared" si="18"/>
        <v/>
      </c>
      <c r="AI42" s="34" t="str">
        <f t="shared" si="18"/>
        <v/>
      </c>
      <c r="AJ42" s="34" t="str">
        <f t="shared" si="18"/>
        <v/>
      </c>
      <c r="AK42" s="34" t="str">
        <f t="shared" si="18"/>
        <v/>
      </c>
      <c r="AL42" s="34" t="str">
        <f t="shared" si="18"/>
        <v/>
      </c>
      <c r="AM42" s="34" t="str">
        <f t="shared" si="25"/>
        <v/>
      </c>
      <c r="AN42" s="34" t="str">
        <f t="shared" si="25"/>
        <v/>
      </c>
      <c r="AO42" s="34" t="str">
        <f t="shared" si="20"/>
        <v/>
      </c>
      <c r="AP42" s="34" t="str">
        <f t="shared" si="20"/>
        <v/>
      </c>
      <c r="AQ42" s="34" t="str">
        <f t="shared" si="20"/>
        <v/>
      </c>
      <c r="AR42" s="34" t="str">
        <f t="shared" si="20"/>
        <v/>
      </c>
      <c r="AS42" s="34" t="str">
        <f t="shared" si="20"/>
        <v/>
      </c>
      <c r="AT42" s="34" t="str">
        <f t="shared" si="26"/>
        <v/>
      </c>
      <c r="AU42" s="34" t="str">
        <f t="shared" si="26"/>
        <v/>
      </c>
      <c r="AV42" s="34" t="str">
        <f t="shared" si="21"/>
        <v/>
      </c>
      <c r="AW42" s="34" t="str">
        <f t="shared" si="21"/>
        <v/>
      </c>
      <c r="AX42" s="34" t="str">
        <f t="shared" si="21"/>
        <v/>
      </c>
      <c r="AY42" s="34" t="str">
        <f t="shared" si="21"/>
        <v/>
      </c>
      <c r="AZ42" s="34" t="str">
        <f t="shared" si="21"/>
        <v/>
      </c>
      <c r="BA42" s="34" t="str">
        <f t="shared" si="27"/>
        <v/>
      </c>
      <c r="BB42" s="34" t="str">
        <f t="shared" si="27"/>
        <v/>
      </c>
      <c r="BC42" s="34" t="str">
        <f t="shared" si="17"/>
        <v/>
      </c>
      <c r="BD42" s="34" t="str">
        <f t="shared" si="17"/>
        <v/>
      </c>
      <c r="BE42" s="34" t="str">
        <f t="shared" si="17"/>
        <v/>
      </c>
      <c r="BF42" s="34" t="str">
        <f t="shared" si="17"/>
        <v/>
      </c>
      <c r="BG42" s="34" t="str">
        <f t="shared" si="17"/>
        <v/>
      </c>
      <c r="BH42" s="34" t="str">
        <f t="shared" si="27"/>
        <v/>
      </c>
      <c r="BI42" s="34" t="str">
        <f t="shared" si="27"/>
        <v/>
      </c>
      <c r="BJ42" s="34" t="str">
        <f t="shared" si="27"/>
        <v/>
      </c>
      <c r="BK42" s="34" t="str">
        <f t="shared" si="28"/>
        <v/>
      </c>
      <c r="BL42" s="34" t="str">
        <f t="shared" si="28"/>
        <v/>
      </c>
      <c r="BM42" s="34" t="str">
        <f t="shared" si="28"/>
        <v/>
      </c>
      <c r="BN42" s="34" t="str">
        <f t="shared" si="28"/>
        <v/>
      </c>
      <c r="BO42" s="34" t="str">
        <f t="shared" si="28"/>
        <v/>
      </c>
      <c r="BP42" s="34" t="str">
        <f t="shared" si="28"/>
        <v/>
      </c>
    </row>
    <row r="43" spans="2:68" x14ac:dyDescent="0.25">
      <c r="B43" s="32">
        <f t="shared" si="22"/>
        <v>34</v>
      </c>
      <c r="C43" s="33" t="s">
        <v>1</v>
      </c>
      <c r="D43" s="34" t="s">
        <v>380</v>
      </c>
      <c r="E43" s="37"/>
      <c r="F43" s="41"/>
      <c r="G43" s="33">
        <f>SUM(G44:G49)</f>
        <v>21</v>
      </c>
      <c r="H43" s="35">
        <f t="shared" si="29"/>
        <v>45936</v>
      </c>
      <c r="I43" s="35" cm="1">
        <f t="array" ref="I43">IF(G43&lt;&gt;"",WORKDAY(Start,Duration-1),IF(Type="M",WORKDAY(Start,Duration-1),""))</f>
        <v>45964</v>
      </c>
      <c r="J43" s="43" cm="1">
        <f t="array" ref="J43">SUM(J44:J49*G44:G49)/SUM(G44:G49)</f>
        <v>0</v>
      </c>
      <c r="K43" s="46"/>
      <c r="L43" s="34"/>
      <c r="M43" s="36" t="str">
        <f t="shared" si="14"/>
        <v/>
      </c>
      <c r="N43" s="34" t="str">
        <f t="shared" si="14"/>
        <v/>
      </c>
      <c r="O43" s="34" t="str">
        <f t="shared" si="14"/>
        <v/>
      </c>
      <c r="P43" s="34" t="str">
        <f t="shared" si="14"/>
        <v/>
      </c>
      <c r="Q43" s="34" t="str">
        <f t="shared" si="14"/>
        <v/>
      </c>
      <c r="R43" s="34"/>
      <c r="S43" s="34"/>
      <c r="T43" s="34" t="str">
        <f t="shared" si="19"/>
        <v/>
      </c>
      <c r="U43" s="34" t="str">
        <f t="shared" si="19"/>
        <v/>
      </c>
      <c r="V43" s="34" t="str">
        <f t="shared" si="19"/>
        <v/>
      </c>
      <c r="W43" s="34" t="str">
        <f t="shared" si="19"/>
        <v/>
      </c>
      <c r="X43" s="34" t="str">
        <f t="shared" si="19"/>
        <v/>
      </c>
      <c r="Y43" s="34"/>
      <c r="Z43" s="34"/>
      <c r="AA43" s="34" t="str">
        <f t="shared" si="15"/>
        <v/>
      </c>
      <c r="AB43" s="34" t="str">
        <f t="shared" si="15"/>
        <v/>
      </c>
      <c r="AC43" s="34" t="str">
        <f t="shared" si="15"/>
        <v/>
      </c>
      <c r="AD43" s="34" t="str">
        <f t="shared" si="15"/>
        <v/>
      </c>
      <c r="AE43" s="34" t="str">
        <f t="shared" si="15"/>
        <v/>
      </c>
      <c r="AF43" s="34"/>
      <c r="AG43" s="34"/>
      <c r="AH43" s="34" t="str">
        <f t="shared" si="18"/>
        <v/>
      </c>
      <c r="AI43" s="34" t="str">
        <f t="shared" si="18"/>
        <v/>
      </c>
      <c r="AJ43" s="34" t="str">
        <f t="shared" si="18"/>
        <v/>
      </c>
      <c r="AK43" s="34" t="str">
        <f t="shared" si="18"/>
        <v/>
      </c>
      <c r="AL43" s="34" t="str">
        <f t="shared" si="18"/>
        <v/>
      </c>
      <c r="AM43" s="34"/>
      <c r="AN43" s="34"/>
      <c r="AO43" s="34" t="str">
        <f t="shared" si="20"/>
        <v/>
      </c>
      <c r="AP43" s="34" t="str">
        <f t="shared" si="20"/>
        <v/>
      </c>
      <c r="AQ43" s="34" t="str">
        <f t="shared" si="20"/>
        <v/>
      </c>
      <c r="AR43" s="34" t="str">
        <f t="shared" si="20"/>
        <v/>
      </c>
      <c r="AS43" s="34" t="str">
        <f t="shared" si="20"/>
        <v/>
      </c>
      <c r="AT43" s="34"/>
      <c r="AU43" s="34"/>
      <c r="AV43" s="34" t="str">
        <f t="shared" si="21"/>
        <v/>
      </c>
      <c r="AW43" s="34" t="str">
        <f t="shared" si="21"/>
        <v/>
      </c>
      <c r="AX43" s="34" t="str">
        <f t="shared" si="21"/>
        <v/>
      </c>
      <c r="AY43" s="34" t="str">
        <f t="shared" si="21"/>
        <v/>
      </c>
      <c r="AZ43" s="34" t="str">
        <f t="shared" si="21"/>
        <v/>
      </c>
      <c r="BA43" s="34"/>
      <c r="BB43" s="34"/>
      <c r="BC43" s="34" t="str">
        <f t="shared" si="17"/>
        <v/>
      </c>
      <c r="BD43" s="34" t="str">
        <f t="shared" si="17"/>
        <v/>
      </c>
      <c r="BE43" s="34" t="str">
        <f t="shared" si="17"/>
        <v/>
      </c>
      <c r="BF43" s="34" t="str">
        <f t="shared" si="17"/>
        <v/>
      </c>
      <c r="BG43" s="34" t="str">
        <f t="shared" si="17"/>
        <v/>
      </c>
      <c r="BH43" s="34"/>
      <c r="BI43" s="34"/>
      <c r="BJ43" s="34"/>
      <c r="BK43" s="34"/>
      <c r="BL43" s="34"/>
      <c r="BM43" s="34"/>
      <c r="BN43" s="34"/>
      <c r="BO43" s="34"/>
      <c r="BP43" s="34"/>
    </row>
    <row r="44" spans="2:68" outlineLevel="1" x14ac:dyDescent="0.25">
      <c r="B44" s="32">
        <f t="shared" si="22"/>
        <v>35</v>
      </c>
      <c r="C44" s="33" t="s">
        <v>5</v>
      </c>
      <c r="D44" s="34" t="s">
        <v>680</v>
      </c>
      <c r="E44" s="37"/>
      <c r="F44" s="41"/>
      <c r="G44" s="33">
        <v>5</v>
      </c>
      <c r="H44" s="35">
        <f>H43</f>
        <v>45936</v>
      </c>
      <c r="I44" s="35" cm="1">
        <f t="array" ref="I44">IF(G44&lt;&gt;"",WORKDAY(Start,Duration-1),IF(Type="M",WORKDAY(Start,Duration-1),""))</f>
        <v>45940</v>
      </c>
      <c r="J44" s="43"/>
      <c r="K44" s="46" t="s">
        <v>444</v>
      </c>
      <c r="L44" s="34"/>
      <c r="M44" s="36" t="str">
        <f t="shared" si="14"/>
        <v/>
      </c>
      <c r="N44" s="34" t="str">
        <f t="shared" si="14"/>
        <v/>
      </c>
      <c r="O44" s="34" t="str">
        <f t="shared" si="14"/>
        <v/>
      </c>
      <c r="P44" s="34" t="str">
        <f t="shared" si="14"/>
        <v/>
      </c>
      <c r="Q44" s="34" t="str">
        <f t="shared" si="14"/>
        <v/>
      </c>
      <c r="R44" s="34"/>
      <c r="S44" s="34"/>
      <c r="T44" s="34" t="str">
        <f t="shared" si="19"/>
        <v/>
      </c>
      <c r="U44" s="34" t="str">
        <f t="shared" si="19"/>
        <v/>
      </c>
      <c r="V44" s="34" t="str">
        <f t="shared" si="19"/>
        <v/>
      </c>
      <c r="W44" s="34" t="str">
        <f t="shared" si="19"/>
        <v/>
      </c>
      <c r="X44" s="34" t="str">
        <f t="shared" si="19"/>
        <v/>
      </c>
      <c r="Y44" s="34"/>
      <c r="Z44" s="34"/>
      <c r="AA44" s="34" t="str">
        <f t="shared" si="15"/>
        <v/>
      </c>
      <c r="AB44" s="34" t="str">
        <f t="shared" si="15"/>
        <v/>
      </c>
      <c r="AC44" s="34" t="str">
        <f t="shared" si="15"/>
        <v/>
      </c>
      <c r="AD44" s="34" t="str">
        <f t="shared" si="15"/>
        <v/>
      </c>
      <c r="AE44" s="34" t="str">
        <f t="shared" si="15"/>
        <v/>
      </c>
      <c r="AF44" s="34"/>
      <c r="AG44" s="34"/>
      <c r="AH44" s="34" t="str">
        <f t="shared" si="18"/>
        <v/>
      </c>
      <c r="AI44" s="34" t="str">
        <f t="shared" si="18"/>
        <v/>
      </c>
      <c r="AJ44" s="34" t="str">
        <f t="shared" si="18"/>
        <v/>
      </c>
      <c r="AK44" s="34" t="str">
        <f t="shared" si="18"/>
        <v/>
      </c>
      <c r="AL44" s="34" t="str">
        <f t="shared" si="18"/>
        <v/>
      </c>
      <c r="AM44" s="34"/>
      <c r="AN44" s="34"/>
      <c r="AO44" s="34" t="str">
        <f t="shared" si="20"/>
        <v/>
      </c>
      <c r="AP44" s="34" t="str">
        <f t="shared" si="20"/>
        <v/>
      </c>
      <c r="AQ44" s="34" t="str">
        <f t="shared" si="20"/>
        <v/>
      </c>
      <c r="AR44" s="34" t="str">
        <f t="shared" si="20"/>
        <v/>
      </c>
      <c r="AS44" s="34" t="str">
        <f t="shared" si="20"/>
        <v/>
      </c>
      <c r="AT44" s="34"/>
      <c r="AU44" s="34"/>
      <c r="AV44" s="34" t="str">
        <f t="shared" si="21"/>
        <v/>
      </c>
      <c r="AW44" s="34" t="str">
        <f t="shared" si="21"/>
        <v/>
      </c>
      <c r="AX44" s="34" t="str">
        <f t="shared" si="21"/>
        <v/>
      </c>
      <c r="AY44" s="34" t="str">
        <f t="shared" si="21"/>
        <v/>
      </c>
      <c r="AZ44" s="34" t="str">
        <f t="shared" si="21"/>
        <v/>
      </c>
      <c r="BA44" s="34"/>
      <c r="BB44" s="34"/>
      <c r="BC44" s="34" t="str">
        <f t="shared" si="17"/>
        <v/>
      </c>
      <c r="BD44" s="34" t="str">
        <f t="shared" si="17"/>
        <v/>
      </c>
      <c r="BE44" s="34" t="str">
        <f t="shared" si="17"/>
        <v/>
      </c>
      <c r="BF44" s="34" t="str">
        <f t="shared" si="17"/>
        <v/>
      </c>
      <c r="BG44" s="34" t="str">
        <f t="shared" si="17"/>
        <v/>
      </c>
      <c r="BH44" s="34"/>
      <c r="BI44" s="34"/>
      <c r="BJ44" s="34"/>
      <c r="BK44" s="34"/>
      <c r="BL44" s="34"/>
      <c r="BM44" s="34"/>
      <c r="BN44" s="34"/>
      <c r="BO44" s="34"/>
      <c r="BP44" s="34"/>
    </row>
    <row r="45" spans="2:68" outlineLevel="1" x14ac:dyDescent="0.25">
      <c r="B45" s="32">
        <f t="shared" si="22"/>
        <v>36</v>
      </c>
      <c r="C45" s="33" t="s">
        <v>5</v>
      </c>
      <c r="D45" s="34" t="s">
        <v>430</v>
      </c>
      <c r="E45" s="37"/>
      <c r="F45" s="41"/>
      <c r="G45" s="33">
        <v>5</v>
      </c>
      <c r="H45" s="35">
        <f t="shared" ref="H45:H50" si="30">IF(Type&lt;&gt;"M",WORKDAY(I44,1),I44)</f>
        <v>45943</v>
      </c>
      <c r="I45" s="35" cm="1">
        <f t="array" ref="I45">IF(G45&lt;&gt;"",WORKDAY(Start,Duration-1),IF(Type="M",WORKDAY(Start,Duration-1),""))</f>
        <v>45947</v>
      </c>
      <c r="J45" s="43"/>
      <c r="K45" s="46" t="s">
        <v>443</v>
      </c>
      <c r="L45" s="34"/>
      <c r="M45" s="36" t="str">
        <f t="shared" si="14"/>
        <v/>
      </c>
      <c r="N45" s="34" t="str">
        <f t="shared" si="14"/>
        <v/>
      </c>
      <c r="O45" s="34" t="str">
        <f t="shared" si="14"/>
        <v/>
      </c>
      <c r="P45" s="34" t="str">
        <f t="shared" si="14"/>
        <v/>
      </c>
      <c r="Q45" s="34" t="str">
        <f t="shared" si="14"/>
        <v/>
      </c>
      <c r="R45" s="34"/>
      <c r="S45" s="34"/>
      <c r="T45" s="34" t="str">
        <f t="shared" si="19"/>
        <v/>
      </c>
      <c r="U45" s="34" t="str">
        <f t="shared" si="19"/>
        <v/>
      </c>
      <c r="V45" s="34" t="str">
        <f t="shared" si="19"/>
        <v/>
      </c>
      <c r="W45" s="34" t="str">
        <f t="shared" si="19"/>
        <v/>
      </c>
      <c r="X45" s="34" t="str">
        <f t="shared" si="19"/>
        <v/>
      </c>
      <c r="Y45" s="34"/>
      <c r="Z45" s="34"/>
      <c r="AA45" s="34" t="str">
        <f t="shared" si="15"/>
        <v/>
      </c>
      <c r="AB45" s="34" t="str">
        <f t="shared" si="15"/>
        <v/>
      </c>
      <c r="AC45" s="34" t="str">
        <f t="shared" si="15"/>
        <v/>
      </c>
      <c r="AD45" s="34" t="str">
        <f t="shared" si="15"/>
        <v/>
      </c>
      <c r="AE45" s="34" t="str">
        <f t="shared" si="15"/>
        <v/>
      </c>
      <c r="AF45" s="34"/>
      <c r="AG45" s="34"/>
      <c r="AH45" s="34" t="str">
        <f t="shared" si="18"/>
        <v/>
      </c>
      <c r="AI45" s="34" t="str">
        <f t="shared" si="18"/>
        <v/>
      </c>
      <c r="AJ45" s="34" t="str">
        <f t="shared" si="18"/>
        <v/>
      </c>
      <c r="AK45" s="34" t="str">
        <f t="shared" si="18"/>
        <v/>
      </c>
      <c r="AL45" s="34" t="str">
        <f t="shared" si="18"/>
        <v/>
      </c>
      <c r="AM45" s="34"/>
      <c r="AN45" s="34"/>
      <c r="AO45" s="34" t="str">
        <f t="shared" si="20"/>
        <v/>
      </c>
      <c r="AP45" s="34" t="str">
        <f t="shared" si="20"/>
        <v/>
      </c>
      <c r="AQ45" s="34" t="str">
        <f t="shared" si="20"/>
        <v/>
      </c>
      <c r="AR45" s="34" t="str">
        <f t="shared" si="20"/>
        <v/>
      </c>
      <c r="AS45" s="34" t="str">
        <f t="shared" si="20"/>
        <v/>
      </c>
      <c r="AT45" s="34"/>
      <c r="AU45" s="34"/>
      <c r="AV45" s="34" t="str">
        <f t="shared" si="21"/>
        <v/>
      </c>
      <c r="AW45" s="34" t="str">
        <f t="shared" si="21"/>
        <v/>
      </c>
      <c r="AX45" s="34" t="str">
        <f t="shared" si="21"/>
        <v/>
      </c>
      <c r="AY45" s="34" t="str">
        <f t="shared" si="21"/>
        <v/>
      </c>
      <c r="AZ45" s="34" t="str">
        <f t="shared" si="21"/>
        <v/>
      </c>
      <c r="BA45" s="34"/>
      <c r="BB45" s="34"/>
      <c r="BC45" s="34" t="str">
        <f t="shared" si="17"/>
        <v/>
      </c>
      <c r="BD45" s="34" t="str">
        <f t="shared" si="17"/>
        <v/>
      </c>
      <c r="BE45" s="34" t="str">
        <f t="shared" si="17"/>
        <v/>
      </c>
      <c r="BF45" s="34" t="str">
        <f t="shared" si="17"/>
        <v/>
      </c>
      <c r="BG45" s="34" t="str">
        <f t="shared" si="17"/>
        <v/>
      </c>
      <c r="BH45" s="34"/>
      <c r="BI45" s="34"/>
      <c r="BJ45" s="34"/>
      <c r="BK45" s="34"/>
      <c r="BL45" s="34"/>
      <c r="BM45" s="34"/>
      <c r="BN45" s="34"/>
      <c r="BO45" s="34"/>
      <c r="BP45" s="34"/>
    </row>
    <row r="46" spans="2:68" outlineLevel="1" x14ac:dyDescent="0.25">
      <c r="B46" s="32">
        <f t="shared" si="22"/>
        <v>37</v>
      </c>
      <c r="C46" s="33" t="s">
        <v>5</v>
      </c>
      <c r="D46" s="34" t="s">
        <v>31</v>
      </c>
      <c r="E46" s="34"/>
      <c r="F46" s="40"/>
      <c r="G46" s="33">
        <v>3</v>
      </c>
      <c r="H46" s="35">
        <f t="shared" si="30"/>
        <v>45950</v>
      </c>
      <c r="I46" s="35" cm="1">
        <f t="array" ref="I46">IF(G46&lt;&gt;"",WORKDAY(Start,Duration-1),IF(Type="M",WORKDAY(Start,Duration-1),""))</f>
        <v>45952</v>
      </c>
      <c r="J46" s="43"/>
      <c r="K46" s="47" t="s">
        <v>92</v>
      </c>
      <c r="L46" s="34" t="s">
        <v>69</v>
      </c>
      <c r="M46" s="36" t="str">
        <f t="shared" si="14"/>
        <v/>
      </c>
      <c r="N46" s="34" t="str">
        <f t="shared" si="14"/>
        <v/>
      </c>
      <c r="O46" s="34" t="str">
        <f t="shared" si="14"/>
        <v/>
      </c>
      <c r="P46" s="34" t="str">
        <f t="shared" si="14"/>
        <v/>
      </c>
      <c r="Q46" s="34" t="str">
        <f t="shared" si="14"/>
        <v/>
      </c>
      <c r="R46" s="34" t="str">
        <f t="shared" si="23"/>
        <v/>
      </c>
      <c r="S46" s="34" t="str">
        <f t="shared" si="23"/>
        <v/>
      </c>
      <c r="T46" s="34" t="str">
        <f t="shared" si="19"/>
        <v/>
      </c>
      <c r="U46" s="34" t="str">
        <f t="shared" si="19"/>
        <v/>
      </c>
      <c r="V46" s="34" t="str">
        <f t="shared" si="19"/>
        <v/>
      </c>
      <c r="W46" s="34" t="str">
        <f t="shared" si="19"/>
        <v/>
      </c>
      <c r="X46" s="34" t="str">
        <f t="shared" si="19"/>
        <v/>
      </c>
      <c r="Y46" s="34" t="str">
        <f t="shared" si="24"/>
        <v/>
      </c>
      <c r="Z46" s="34" t="str">
        <f t="shared" si="24"/>
        <v/>
      </c>
      <c r="AA46" s="34" t="str">
        <f t="shared" si="15"/>
        <v/>
      </c>
      <c r="AB46" s="34" t="str">
        <f t="shared" si="15"/>
        <v/>
      </c>
      <c r="AC46" s="34" t="str">
        <f t="shared" si="15"/>
        <v/>
      </c>
      <c r="AD46" s="34" t="str">
        <f t="shared" si="15"/>
        <v/>
      </c>
      <c r="AE46" s="34" t="str">
        <f t="shared" si="15"/>
        <v/>
      </c>
      <c r="AF46" s="34" t="str">
        <f t="shared" si="24"/>
        <v/>
      </c>
      <c r="AG46" s="34" t="str">
        <f t="shared" si="25"/>
        <v/>
      </c>
      <c r="AH46" s="34" t="str">
        <f t="shared" si="18"/>
        <v/>
      </c>
      <c r="AI46" s="34" t="str">
        <f t="shared" si="18"/>
        <v/>
      </c>
      <c r="AJ46" s="34" t="str">
        <f t="shared" si="18"/>
        <v/>
      </c>
      <c r="AK46" s="34" t="str">
        <f t="shared" si="18"/>
        <v/>
      </c>
      <c r="AL46" s="34" t="str">
        <f t="shared" si="18"/>
        <v/>
      </c>
      <c r="AM46" s="34" t="str">
        <f t="shared" si="25"/>
        <v/>
      </c>
      <c r="AN46" s="34" t="str">
        <f t="shared" si="25"/>
        <v/>
      </c>
      <c r="AO46" s="34" t="str">
        <f t="shared" si="20"/>
        <v/>
      </c>
      <c r="AP46" s="34" t="str">
        <f t="shared" si="20"/>
        <v/>
      </c>
      <c r="AQ46" s="34" t="str">
        <f t="shared" si="20"/>
        <v/>
      </c>
      <c r="AR46" s="34" t="str">
        <f t="shared" si="20"/>
        <v/>
      </c>
      <c r="AS46" s="34" t="str">
        <f t="shared" si="20"/>
        <v/>
      </c>
      <c r="AT46" s="34" t="str">
        <f t="shared" si="26"/>
        <v/>
      </c>
      <c r="AU46" s="34" t="str">
        <f t="shared" si="26"/>
        <v/>
      </c>
      <c r="AV46" s="34" t="str">
        <f t="shared" si="21"/>
        <v/>
      </c>
      <c r="AW46" s="34" t="str">
        <f t="shared" si="21"/>
        <v/>
      </c>
      <c r="AX46" s="34" t="str">
        <f t="shared" si="21"/>
        <v/>
      </c>
      <c r="AY46" s="34" t="str">
        <f t="shared" si="21"/>
        <v/>
      </c>
      <c r="AZ46" s="34" t="str">
        <f t="shared" si="21"/>
        <v/>
      </c>
      <c r="BA46" s="34" t="str">
        <f t="shared" si="27"/>
        <v/>
      </c>
      <c r="BB46" s="34" t="str">
        <f t="shared" si="27"/>
        <v/>
      </c>
      <c r="BC46" s="34" t="str">
        <f t="shared" si="17"/>
        <v/>
      </c>
      <c r="BD46" s="34" t="str">
        <f t="shared" si="17"/>
        <v/>
      </c>
      <c r="BE46" s="34" t="str">
        <f t="shared" si="17"/>
        <v/>
      </c>
      <c r="BF46" s="34" t="str">
        <f t="shared" si="17"/>
        <v/>
      </c>
      <c r="BG46" s="34" t="str">
        <f t="shared" si="17"/>
        <v/>
      </c>
      <c r="BH46" s="34" t="str">
        <f t="shared" si="27"/>
        <v/>
      </c>
      <c r="BI46" s="34" t="str">
        <f t="shared" si="27"/>
        <v/>
      </c>
      <c r="BJ46" s="34" t="str">
        <f t="shared" si="27"/>
        <v/>
      </c>
      <c r="BK46" s="34" t="str">
        <f t="shared" si="28"/>
        <v/>
      </c>
      <c r="BL46" s="34" t="str">
        <f t="shared" si="28"/>
        <v/>
      </c>
      <c r="BM46" s="34" t="str">
        <f t="shared" si="28"/>
        <v/>
      </c>
      <c r="BN46" s="34" t="str">
        <f t="shared" si="28"/>
        <v/>
      </c>
      <c r="BO46" s="34" t="str">
        <f t="shared" si="28"/>
        <v/>
      </c>
      <c r="BP46" s="34" t="str">
        <f t="shared" si="28"/>
        <v/>
      </c>
    </row>
    <row r="47" spans="2:68" outlineLevel="1" x14ac:dyDescent="0.25">
      <c r="B47" s="32">
        <f t="shared" si="22"/>
        <v>38</v>
      </c>
      <c r="C47" s="33" t="s">
        <v>5</v>
      </c>
      <c r="D47" s="34" t="s">
        <v>395</v>
      </c>
      <c r="E47" s="34"/>
      <c r="F47" s="40"/>
      <c r="G47" s="33">
        <v>6</v>
      </c>
      <c r="H47" s="35">
        <f t="shared" si="30"/>
        <v>45953</v>
      </c>
      <c r="I47" s="35" cm="1">
        <f t="array" ref="I47">IF(G47&lt;&gt;"",WORKDAY(Start,Duration-1),IF(Type="M",WORKDAY(Start,Duration-1),""))</f>
        <v>45960</v>
      </c>
      <c r="J47" s="43"/>
      <c r="K47" s="47" t="s">
        <v>676</v>
      </c>
      <c r="L47" s="34"/>
      <c r="M47" s="36" t="str">
        <f t="shared" si="14"/>
        <v/>
      </c>
      <c r="N47" s="34" t="str">
        <f t="shared" si="14"/>
        <v/>
      </c>
      <c r="O47" s="34" t="str">
        <f t="shared" si="14"/>
        <v/>
      </c>
      <c r="P47" s="34" t="str">
        <f t="shared" si="14"/>
        <v/>
      </c>
      <c r="Q47" s="34" t="str">
        <f t="shared" si="14"/>
        <v/>
      </c>
      <c r="R47" s="34" t="str">
        <f t="shared" si="23"/>
        <v/>
      </c>
      <c r="S47" s="34" t="str">
        <f t="shared" si="23"/>
        <v/>
      </c>
      <c r="T47" s="34" t="str">
        <f t="shared" si="19"/>
        <v/>
      </c>
      <c r="U47" s="34" t="str">
        <f t="shared" si="19"/>
        <v/>
      </c>
      <c r="V47" s="34" t="str">
        <f t="shared" si="19"/>
        <v/>
      </c>
      <c r="W47" s="34" t="str">
        <f t="shared" si="19"/>
        <v/>
      </c>
      <c r="X47" s="34" t="str">
        <f t="shared" si="19"/>
        <v/>
      </c>
      <c r="Y47" s="34" t="str">
        <f t="shared" si="24"/>
        <v/>
      </c>
      <c r="Z47" s="34" t="str">
        <f t="shared" si="24"/>
        <v/>
      </c>
      <c r="AA47" s="34" t="str">
        <f t="shared" si="15"/>
        <v/>
      </c>
      <c r="AB47" s="34" t="str">
        <f t="shared" si="15"/>
        <v/>
      </c>
      <c r="AC47" s="34" t="str">
        <f t="shared" si="15"/>
        <v/>
      </c>
      <c r="AD47" s="34" t="str">
        <f t="shared" si="15"/>
        <v/>
      </c>
      <c r="AE47" s="34" t="str">
        <f t="shared" si="15"/>
        <v/>
      </c>
      <c r="AF47" s="34" t="str">
        <f t="shared" si="24"/>
        <v/>
      </c>
      <c r="AG47" s="34" t="str">
        <f t="shared" si="25"/>
        <v/>
      </c>
      <c r="AH47" s="34" t="str">
        <f t="shared" si="18"/>
        <v/>
      </c>
      <c r="AI47" s="34" t="str">
        <f t="shared" si="18"/>
        <v/>
      </c>
      <c r="AJ47" s="34" t="str">
        <f t="shared" si="18"/>
        <v/>
      </c>
      <c r="AK47" s="34" t="str">
        <f t="shared" si="18"/>
        <v/>
      </c>
      <c r="AL47" s="34" t="str">
        <f t="shared" si="18"/>
        <v/>
      </c>
      <c r="AM47" s="34" t="str">
        <f t="shared" si="25"/>
        <v/>
      </c>
      <c r="AN47" s="34" t="str">
        <f t="shared" si="25"/>
        <v/>
      </c>
      <c r="AO47" s="34" t="str">
        <f t="shared" si="20"/>
        <v/>
      </c>
      <c r="AP47" s="34" t="str">
        <f t="shared" si="20"/>
        <v/>
      </c>
      <c r="AQ47" s="34" t="str">
        <f t="shared" si="20"/>
        <v/>
      </c>
      <c r="AR47" s="34" t="str">
        <f t="shared" si="20"/>
        <v/>
      </c>
      <c r="AS47" s="34" t="str">
        <f t="shared" si="20"/>
        <v/>
      </c>
      <c r="AT47" s="34" t="str">
        <f t="shared" si="26"/>
        <v/>
      </c>
      <c r="AU47" s="34" t="str">
        <f t="shared" si="26"/>
        <v/>
      </c>
      <c r="AV47" s="34" t="str">
        <f t="shared" si="21"/>
        <v/>
      </c>
      <c r="AW47" s="34" t="str">
        <f t="shared" si="21"/>
        <v/>
      </c>
      <c r="AX47" s="34" t="str">
        <f t="shared" si="21"/>
        <v/>
      </c>
      <c r="AY47" s="34" t="str">
        <f t="shared" si="21"/>
        <v/>
      </c>
      <c r="AZ47" s="34" t="str">
        <f t="shared" si="21"/>
        <v/>
      </c>
      <c r="BA47" s="34" t="str">
        <f t="shared" si="27"/>
        <v/>
      </c>
      <c r="BB47" s="34" t="str">
        <f t="shared" si="27"/>
        <v/>
      </c>
      <c r="BC47" s="34" t="str">
        <f t="shared" si="17"/>
        <v/>
      </c>
      <c r="BD47" s="34" t="str">
        <f t="shared" si="17"/>
        <v/>
      </c>
      <c r="BE47" s="34" t="str">
        <f t="shared" si="17"/>
        <v/>
      </c>
      <c r="BF47" s="34" t="str">
        <f t="shared" si="17"/>
        <v/>
      </c>
      <c r="BG47" s="34" t="str">
        <f t="shared" si="17"/>
        <v/>
      </c>
      <c r="BH47" s="34" t="str">
        <f t="shared" si="27"/>
        <v/>
      </c>
      <c r="BI47" s="34" t="str">
        <f t="shared" si="27"/>
        <v/>
      </c>
      <c r="BJ47" s="34" t="str">
        <f t="shared" si="27"/>
        <v/>
      </c>
      <c r="BK47" s="34" t="str">
        <f t="shared" si="28"/>
        <v/>
      </c>
      <c r="BL47" s="34" t="str">
        <f t="shared" si="28"/>
        <v/>
      </c>
      <c r="BM47" s="34" t="str">
        <f t="shared" si="28"/>
        <v/>
      </c>
      <c r="BN47" s="34" t="str">
        <f t="shared" si="28"/>
        <v/>
      </c>
      <c r="BO47" s="34" t="str">
        <f t="shared" si="28"/>
        <v/>
      </c>
      <c r="BP47" s="34" t="str">
        <f t="shared" si="28"/>
        <v/>
      </c>
    </row>
    <row r="48" spans="2:68" outlineLevel="1" x14ac:dyDescent="0.25">
      <c r="B48" s="32">
        <f t="shared" si="22"/>
        <v>39</v>
      </c>
      <c r="C48" s="33" t="s">
        <v>5</v>
      </c>
      <c r="D48" s="34" t="s">
        <v>396</v>
      </c>
      <c r="E48" s="34"/>
      <c r="F48" s="40"/>
      <c r="G48" s="33">
        <v>2</v>
      </c>
      <c r="H48" s="35">
        <f t="shared" si="30"/>
        <v>45961</v>
      </c>
      <c r="I48" s="35" cm="1">
        <f t="array" ref="I48">IF(G48&lt;&gt;"",WORKDAY(Start,Duration-1),IF(Type="M",WORKDAY(Start,Duration-1),""))</f>
        <v>45964</v>
      </c>
      <c r="J48" s="43"/>
      <c r="K48" s="47" t="s">
        <v>676</v>
      </c>
      <c r="L48" s="34"/>
      <c r="M48" s="36" t="str">
        <f t="shared" si="14"/>
        <v/>
      </c>
      <c r="N48" s="34" t="str">
        <f t="shared" si="14"/>
        <v/>
      </c>
      <c r="O48" s="34" t="str">
        <f t="shared" si="14"/>
        <v/>
      </c>
      <c r="P48" s="34" t="str">
        <f t="shared" si="14"/>
        <v/>
      </c>
      <c r="Q48" s="34" t="str">
        <f t="shared" si="14"/>
        <v/>
      </c>
      <c r="R48" s="34"/>
      <c r="S48" s="34"/>
      <c r="T48" s="34" t="str">
        <f t="shared" si="19"/>
        <v/>
      </c>
      <c r="U48" s="34" t="str">
        <f t="shared" si="19"/>
        <v/>
      </c>
      <c r="V48" s="34" t="str">
        <f t="shared" si="19"/>
        <v/>
      </c>
      <c r="W48" s="34" t="str">
        <f t="shared" si="19"/>
        <v/>
      </c>
      <c r="X48" s="34" t="str">
        <f t="shared" si="19"/>
        <v/>
      </c>
      <c r="Y48" s="34"/>
      <c r="Z48" s="34"/>
      <c r="AA48" s="34" t="str">
        <f t="shared" si="15"/>
        <v/>
      </c>
      <c r="AB48" s="34" t="str">
        <f t="shared" si="15"/>
        <v/>
      </c>
      <c r="AC48" s="34" t="str">
        <f t="shared" si="15"/>
        <v/>
      </c>
      <c r="AD48" s="34" t="str">
        <f t="shared" si="15"/>
        <v/>
      </c>
      <c r="AE48" s="34" t="str">
        <f t="shared" si="15"/>
        <v/>
      </c>
      <c r="AF48" s="34"/>
      <c r="AG48" s="34"/>
      <c r="AH48" s="34" t="str">
        <f t="shared" si="18"/>
        <v/>
      </c>
      <c r="AI48" s="34" t="str">
        <f t="shared" si="18"/>
        <v/>
      </c>
      <c r="AJ48" s="34" t="str">
        <f t="shared" si="18"/>
        <v/>
      </c>
      <c r="AK48" s="34" t="str">
        <f t="shared" si="18"/>
        <v/>
      </c>
      <c r="AL48" s="34" t="str">
        <f t="shared" si="18"/>
        <v/>
      </c>
      <c r="AM48" s="34"/>
      <c r="AN48" s="34"/>
      <c r="AO48" s="34" t="str">
        <f t="shared" si="20"/>
        <v/>
      </c>
      <c r="AP48" s="34" t="str">
        <f t="shared" si="20"/>
        <v/>
      </c>
      <c r="AQ48" s="34" t="str">
        <f t="shared" si="20"/>
        <v/>
      </c>
      <c r="AR48" s="34" t="str">
        <f t="shared" si="20"/>
        <v/>
      </c>
      <c r="AS48" s="34" t="str">
        <f t="shared" si="20"/>
        <v/>
      </c>
      <c r="AT48" s="34"/>
      <c r="AU48" s="34"/>
      <c r="AV48" s="34" t="str">
        <f t="shared" si="21"/>
        <v/>
      </c>
      <c r="AW48" s="34" t="str">
        <f t="shared" si="21"/>
        <v/>
      </c>
      <c r="AX48" s="34" t="str">
        <f t="shared" si="21"/>
        <v/>
      </c>
      <c r="AY48" s="34" t="str">
        <f t="shared" si="21"/>
        <v/>
      </c>
      <c r="AZ48" s="34" t="str">
        <f t="shared" si="21"/>
        <v/>
      </c>
      <c r="BA48" s="34"/>
      <c r="BB48" s="34"/>
      <c r="BC48" s="34" t="str">
        <f t="shared" si="17"/>
        <v/>
      </c>
      <c r="BD48" s="34" t="str">
        <f t="shared" si="17"/>
        <v/>
      </c>
      <c r="BE48" s="34" t="str">
        <f t="shared" si="17"/>
        <v/>
      </c>
      <c r="BF48" s="34" t="str">
        <f t="shared" si="17"/>
        <v/>
      </c>
      <c r="BG48" s="34" t="str">
        <f t="shared" si="17"/>
        <v/>
      </c>
      <c r="BH48" s="34"/>
      <c r="BI48" s="34"/>
      <c r="BJ48" s="34"/>
      <c r="BK48" s="34"/>
      <c r="BL48" s="34"/>
      <c r="BM48" s="34"/>
      <c r="BN48" s="34"/>
      <c r="BO48" s="34"/>
      <c r="BP48" s="34"/>
    </row>
    <row r="49" spans="2:68" outlineLevel="1" x14ac:dyDescent="0.25">
      <c r="B49" s="32">
        <f t="shared" si="22"/>
        <v>40</v>
      </c>
      <c r="C49" s="33" t="s">
        <v>6</v>
      </c>
      <c r="D49" s="34" t="s">
        <v>30</v>
      </c>
      <c r="E49" s="34"/>
      <c r="F49" s="40"/>
      <c r="G49" s="33"/>
      <c r="H49" s="35">
        <f t="shared" si="30"/>
        <v>45964</v>
      </c>
      <c r="I49" s="35" cm="1">
        <f t="array" ref="I49">IF(G49&lt;&gt;"",WORKDAY(Start,Duration-1),IF(Type="M",WORKDAY(Start,Duration-1),""))</f>
        <v>45964</v>
      </c>
      <c r="J49" s="43"/>
      <c r="K49" s="47" t="s">
        <v>474</v>
      </c>
      <c r="L49" s="34" t="s">
        <v>397</v>
      </c>
      <c r="M49" s="36" t="str">
        <f t="shared" si="14"/>
        <v/>
      </c>
      <c r="N49" s="34" t="str">
        <f t="shared" si="14"/>
        <v/>
      </c>
      <c r="O49" s="34" t="str">
        <f t="shared" si="14"/>
        <v/>
      </c>
      <c r="P49" s="34" t="str">
        <f t="shared" si="14"/>
        <v/>
      </c>
      <c r="Q49" s="34" t="str">
        <f t="shared" si="14"/>
        <v/>
      </c>
      <c r="R49" s="34" t="str">
        <f t="shared" si="23"/>
        <v/>
      </c>
      <c r="S49" s="34" t="str">
        <f t="shared" si="23"/>
        <v/>
      </c>
      <c r="T49" s="34" t="str">
        <f t="shared" si="19"/>
        <v/>
      </c>
      <c r="U49" s="34" t="str">
        <f t="shared" si="19"/>
        <v/>
      </c>
      <c r="V49" s="34" t="str">
        <f t="shared" si="19"/>
        <v/>
      </c>
      <c r="W49" s="34" t="str">
        <f t="shared" si="19"/>
        <v/>
      </c>
      <c r="X49" s="34" t="str">
        <f t="shared" si="19"/>
        <v/>
      </c>
      <c r="Y49" s="34" t="str">
        <f t="shared" si="24"/>
        <v/>
      </c>
      <c r="Z49" s="34" t="str">
        <f t="shared" si="24"/>
        <v/>
      </c>
      <c r="AA49" s="34" t="str">
        <f t="shared" si="15"/>
        <v/>
      </c>
      <c r="AB49" s="34" t="str">
        <f t="shared" si="15"/>
        <v/>
      </c>
      <c r="AC49" s="34" t="str">
        <f t="shared" si="15"/>
        <v/>
      </c>
      <c r="AD49" s="34" t="str">
        <f t="shared" si="15"/>
        <v/>
      </c>
      <c r="AE49" s="34" t="str">
        <f t="shared" si="15"/>
        <v/>
      </c>
      <c r="AF49" s="34" t="str">
        <f t="shared" si="24"/>
        <v/>
      </c>
      <c r="AG49" s="34" t="str">
        <f t="shared" si="25"/>
        <v/>
      </c>
      <c r="AH49" s="34" t="str">
        <f t="shared" si="18"/>
        <v/>
      </c>
      <c r="AI49" s="34" t="str">
        <f t="shared" si="18"/>
        <v/>
      </c>
      <c r="AJ49" s="34" t="str">
        <f t="shared" si="18"/>
        <v/>
      </c>
      <c r="AK49" s="34" t="str">
        <f t="shared" si="18"/>
        <v/>
      </c>
      <c r="AL49" s="34" t="str">
        <f t="shared" si="18"/>
        <v/>
      </c>
      <c r="AM49" s="34" t="str">
        <f t="shared" si="25"/>
        <v/>
      </c>
      <c r="AN49" s="34" t="str">
        <f t="shared" si="25"/>
        <v/>
      </c>
      <c r="AO49" s="34" t="str">
        <f t="shared" si="20"/>
        <v/>
      </c>
      <c r="AP49" s="34" t="str">
        <f t="shared" si="20"/>
        <v/>
      </c>
      <c r="AQ49" s="34" t="str">
        <f t="shared" si="20"/>
        <v/>
      </c>
      <c r="AR49" s="34" t="str">
        <f t="shared" si="20"/>
        <v/>
      </c>
      <c r="AS49" s="34" t="str">
        <f t="shared" si="20"/>
        <v/>
      </c>
      <c r="AT49" s="34" t="str">
        <f t="shared" si="26"/>
        <v/>
      </c>
      <c r="AU49" s="34" t="str">
        <f t="shared" si="26"/>
        <v/>
      </c>
      <c r="AV49" s="34" t="str">
        <f t="shared" si="21"/>
        <v/>
      </c>
      <c r="AW49" s="34" t="str">
        <f t="shared" si="21"/>
        <v/>
      </c>
      <c r="AX49" s="34" t="str">
        <f t="shared" si="21"/>
        <v/>
      </c>
      <c r="AY49" s="34" t="str">
        <f t="shared" si="21"/>
        <v/>
      </c>
      <c r="AZ49" s="34" t="str">
        <f t="shared" si="21"/>
        <v/>
      </c>
      <c r="BA49" s="34" t="str">
        <f t="shared" si="27"/>
        <v/>
      </c>
      <c r="BB49" s="34" t="str">
        <f t="shared" si="27"/>
        <v/>
      </c>
      <c r="BC49" s="34" t="str">
        <f t="shared" si="17"/>
        <v/>
      </c>
      <c r="BD49" s="34" t="str">
        <f t="shared" si="17"/>
        <v/>
      </c>
      <c r="BE49" s="34" t="str">
        <f t="shared" si="17"/>
        <v/>
      </c>
      <c r="BF49" s="34" t="str">
        <f t="shared" si="17"/>
        <v/>
      </c>
      <c r="BG49" s="34" t="str">
        <f t="shared" si="17"/>
        <v/>
      </c>
      <c r="BH49" s="34" t="str">
        <f t="shared" si="27"/>
        <v/>
      </c>
      <c r="BI49" s="34" t="str">
        <f t="shared" si="27"/>
        <v/>
      </c>
      <c r="BJ49" s="34" t="str">
        <f t="shared" si="27"/>
        <v/>
      </c>
      <c r="BK49" s="34" t="str">
        <f t="shared" si="28"/>
        <v/>
      </c>
      <c r="BL49" s="34" t="str">
        <f t="shared" si="28"/>
        <v/>
      </c>
      <c r="BM49" s="34" t="str">
        <f t="shared" si="28"/>
        <v/>
      </c>
      <c r="BN49" s="34" t="str">
        <f t="shared" si="28"/>
        <v/>
      </c>
      <c r="BO49" s="34" t="str">
        <f t="shared" si="28"/>
        <v/>
      </c>
      <c r="BP49" s="34" t="str">
        <f t="shared" si="28"/>
        <v/>
      </c>
    </row>
    <row r="50" spans="2:68" x14ac:dyDescent="0.25">
      <c r="B50" s="32">
        <f t="shared" si="22"/>
        <v>41</v>
      </c>
      <c r="C50" s="33" t="s">
        <v>1</v>
      </c>
      <c r="D50" s="34" t="s">
        <v>381</v>
      </c>
      <c r="E50" s="34"/>
      <c r="F50" s="40"/>
      <c r="G50" s="33">
        <f>SUM(G51:G60)</f>
        <v>21</v>
      </c>
      <c r="H50" s="35">
        <f t="shared" si="30"/>
        <v>45965</v>
      </c>
      <c r="I50" s="35" cm="1">
        <f t="array" ref="I50">IF(G50&lt;&gt;"",WORKDAY(Start,Duration-1),IF(Type="M",WORKDAY(Start,Duration-1),""))</f>
        <v>45993</v>
      </c>
      <c r="J50" s="43" cm="1">
        <f t="array" ref="J50">SUM(J51:J60*G51:G60)/SUM(G51:G60)</f>
        <v>0</v>
      </c>
      <c r="K50" s="46"/>
      <c r="L50" s="34"/>
      <c r="M50" s="36" t="str">
        <f t="shared" si="14"/>
        <v/>
      </c>
      <c r="N50" s="34" t="str">
        <f t="shared" si="14"/>
        <v/>
      </c>
      <c r="O50" s="34" t="str">
        <f t="shared" si="14"/>
        <v/>
      </c>
      <c r="P50" s="34" t="str">
        <f t="shared" si="14"/>
        <v/>
      </c>
      <c r="Q50" s="34" t="str">
        <f t="shared" si="14"/>
        <v/>
      </c>
      <c r="R50" s="34"/>
      <c r="S50" s="34"/>
      <c r="T50" s="34" t="str">
        <f t="shared" si="19"/>
        <v/>
      </c>
      <c r="U50" s="34" t="str">
        <f t="shared" si="19"/>
        <v/>
      </c>
      <c r="V50" s="34" t="str">
        <f t="shared" si="19"/>
        <v/>
      </c>
      <c r="W50" s="34" t="str">
        <f t="shared" si="19"/>
        <v/>
      </c>
      <c r="X50" s="34" t="str">
        <f t="shared" si="19"/>
        <v/>
      </c>
      <c r="Y50" s="34"/>
      <c r="Z50" s="34"/>
      <c r="AA50" s="34" t="str">
        <f t="shared" si="15"/>
        <v/>
      </c>
      <c r="AB50" s="34" t="str">
        <f t="shared" si="15"/>
        <v/>
      </c>
      <c r="AC50" s="34" t="str">
        <f t="shared" si="15"/>
        <v/>
      </c>
      <c r="AD50" s="34" t="str">
        <f t="shared" si="15"/>
        <v/>
      </c>
      <c r="AE50" s="34" t="str">
        <f t="shared" si="15"/>
        <v/>
      </c>
      <c r="AF50" s="34"/>
      <c r="AG50" s="34"/>
      <c r="AH50" s="34" t="str">
        <f t="shared" si="18"/>
        <v/>
      </c>
      <c r="AI50" s="34" t="str">
        <f t="shared" si="18"/>
        <v/>
      </c>
      <c r="AJ50" s="34" t="str">
        <f t="shared" si="18"/>
        <v/>
      </c>
      <c r="AK50" s="34" t="str">
        <f t="shared" si="18"/>
        <v/>
      </c>
      <c r="AL50" s="34" t="str">
        <f t="shared" si="18"/>
        <v/>
      </c>
      <c r="AM50" s="34"/>
      <c r="AN50" s="34"/>
      <c r="AO50" s="34" t="str">
        <f t="shared" si="20"/>
        <v/>
      </c>
      <c r="AP50" s="34" t="str">
        <f t="shared" si="20"/>
        <v/>
      </c>
      <c r="AQ50" s="34" t="str">
        <f t="shared" si="20"/>
        <v/>
      </c>
      <c r="AR50" s="34" t="str">
        <f t="shared" si="20"/>
        <v/>
      </c>
      <c r="AS50" s="34" t="str">
        <f t="shared" si="20"/>
        <v/>
      </c>
      <c r="AT50" s="34"/>
      <c r="AU50" s="34"/>
      <c r="AV50" s="34" t="str">
        <f t="shared" si="21"/>
        <v/>
      </c>
      <c r="AW50" s="34" t="str">
        <f t="shared" si="21"/>
        <v/>
      </c>
      <c r="AX50" s="34" t="str">
        <f t="shared" si="21"/>
        <v/>
      </c>
      <c r="AY50" s="34" t="str">
        <f t="shared" si="21"/>
        <v/>
      </c>
      <c r="AZ50" s="34" t="str">
        <f t="shared" si="21"/>
        <v/>
      </c>
      <c r="BA50" s="34"/>
      <c r="BB50" s="34"/>
      <c r="BC50" s="34" t="str">
        <f t="shared" si="17"/>
        <v/>
      </c>
      <c r="BD50" s="34" t="str">
        <f t="shared" si="17"/>
        <v/>
      </c>
      <c r="BE50" s="34" t="str">
        <f t="shared" si="17"/>
        <v/>
      </c>
      <c r="BF50" s="34" t="str">
        <f t="shared" si="17"/>
        <v/>
      </c>
      <c r="BG50" s="34" t="str">
        <f t="shared" si="17"/>
        <v/>
      </c>
      <c r="BH50" s="34"/>
      <c r="BI50" s="34"/>
      <c r="BJ50" s="34"/>
      <c r="BK50" s="34"/>
      <c r="BL50" s="34"/>
      <c r="BM50" s="34"/>
      <c r="BN50" s="34"/>
      <c r="BO50" s="34"/>
      <c r="BP50" s="34"/>
    </row>
    <row r="51" spans="2:68" outlineLevel="1" x14ac:dyDescent="0.25">
      <c r="B51" s="32">
        <f t="shared" si="22"/>
        <v>42</v>
      </c>
      <c r="C51" s="33" t="s">
        <v>5</v>
      </c>
      <c r="D51" s="34" t="s">
        <v>519</v>
      </c>
      <c r="E51" s="34"/>
      <c r="F51" s="40"/>
      <c r="G51" s="33">
        <v>5</v>
      </c>
      <c r="H51" s="35">
        <f>H50</f>
        <v>45965</v>
      </c>
      <c r="I51" s="35" cm="1">
        <f t="array" ref="I51">IF(G51&lt;&gt;"",WORKDAY(Start,Duration-1),IF(Type="M",WORKDAY(Start,Duration-1),""))</f>
        <v>45971</v>
      </c>
      <c r="J51" s="43"/>
      <c r="K51" s="46" t="s">
        <v>415</v>
      </c>
      <c r="L51" s="34"/>
      <c r="M51" s="36" t="str">
        <f t="shared" si="14"/>
        <v/>
      </c>
      <c r="N51" s="34" t="str">
        <f t="shared" si="14"/>
        <v/>
      </c>
      <c r="O51" s="34" t="str">
        <f t="shared" si="14"/>
        <v/>
      </c>
      <c r="P51" s="34" t="str">
        <f t="shared" si="14"/>
        <v/>
      </c>
      <c r="Q51" s="34" t="str">
        <f t="shared" si="14"/>
        <v/>
      </c>
      <c r="R51" s="34"/>
      <c r="S51" s="34"/>
      <c r="T51" s="34" t="str">
        <f t="shared" si="19"/>
        <v/>
      </c>
      <c r="U51" s="34" t="str">
        <f t="shared" si="19"/>
        <v/>
      </c>
      <c r="V51" s="34" t="str">
        <f t="shared" si="19"/>
        <v/>
      </c>
      <c r="W51" s="34" t="str">
        <f t="shared" si="19"/>
        <v/>
      </c>
      <c r="X51" s="34" t="str">
        <f t="shared" si="19"/>
        <v/>
      </c>
      <c r="Y51" s="34"/>
      <c r="Z51" s="34"/>
      <c r="AA51" s="34" t="str">
        <f t="shared" si="15"/>
        <v/>
      </c>
      <c r="AB51" s="34" t="str">
        <f t="shared" si="15"/>
        <v/>
      </c>
      <c r="AC51" s="34" t="str">
        <f t="shared" si="15"/>
        <v/>
      </c>
      <c r="AD51" s="34" t="str">
        <f t="shared" si="15"/>
        <v/>
      </c>
      <c r="AE51" s="34" t="str">
        <f t="shared" si="15"/>
        <v/>
      </c>
      <c r="AF51" s="34"/>
      <c r="AG51" s="34"/>
      <c r="AH51" s="34" t="str">
        <f t="shared" si="18"/>
        <v/>
      </c>
      <c r="AI51" s="34" t="str">
        <f t="shared" si="18"/>
        <v/>
      </c>
      <c r="AJ51" s="34" t="str">
        <f t="shared" si="18"/>
        <v/>
      </c>
      <c r="AK51" s="34" t="str">
        <f t="shared" si="18"/>
        <v/>
      </c>
      <c r="AL51" s="34" t="str">
        <f t="shared" si="18"/>
        <v/>
      </c>
      <c r="AM51" s="34"/>
      <c r="AN51" s="34"/>
      <c r="AO51" s="34" t="str">
        <f t="shared" si="20"/>
        <v/>
      </c>
      <c r="AP51" s="34" t="str">
        <f t="shared" si="20"/>
        <v/>
      </c>
      <c r="AQ51" s="34" t="str">
        <f t="shared" si="20"/>
        <v/>
      </c>
      <c r="AR51" s="34" t="str">
        <f t="shared" si="20"/>
        <v/>
      </c>
      <c r="AS51" s="34" t="str">
        <f t="shared" si="20"/>
        <v/>
      </c>
      <c r="AT51" s="34"/>
      <c r="AU51" s="34"/>
      <c r="AV51" s="34" t="str">
        <f t="shared" si="21"/>
        <v/>
      </c>
      <c r="AW51" s="34" t="str">
        <f t="shared" si="21"/>
        <v/>
      </c>
      <c r="AX51" s="34" t="str">
        <f t="shared" si="21"/>
        <v/>
      </c>
      <c r="AY51" s="34" t="str">
        <f t="shared" si="21"/>
        <v/>
      </c>
      <c r="AZ51" s="34" t="str">
        <f t="shared" si="21"/>
        <v/>
      </c>
      <c r="BA51" s="34"/>
      <c r="BB51" s="34"/>
      <c r="BC51" s="34" t="str">
        <f t="shared" si="17"/>
        <v/>
      </c>
      <c r="BD51" s="34" t="str">
        <f t="shared" si="17"/>
        <v/>
      </c>
      <c r="BE51" s="34" t="str">
        <f t="shared" si="17"/>
        <v/>
      </c>
      <c r="BF51" s="34" t="str">
        <f t="shared" si="17"/>
        <v/>
      </c>
      <c r="BG51" s="34" t="str">
        <f t="shared" si="17"/>
        <v/>
      </c>
      <c r="BH51" s="34"/>
      <c r="BI51" s="34"/>
      <c r="BJ51" s="34"/>
      <c r="BK51" s="34"/>
      <c r="BL51" s="34"/>
      <c r="BM51" s="34"/>
      <c r="BN51" s="34"/>
      <c r="BO51" s="34"/>
      <c r="BP51" s="34"/>
    </row>
    <row r="52" spans="2:68" outlineLevel="1" x14ac:dyDescent="0.25">
      <c r="B52" s="32">
        <f t="shared" si="22"/>
        <v>43</v>
      </c>
      <c r="C52" s="33" t="s">
        <v>5</v>
      </c>
      <c r="D52" s="34" t="s">
        <v>479</v>
      </c>
      <c r="E52" s="34"/>
      <c r="F52" s="40"/>
      <c r="G52" s="33">
        <v>2</v>
      </c>
      <c r="H52" s="35">
        <f t="shared" ref="H52:H61" si="31">IF(Type&lt;&gt;"M",WORKDAY(I51,1),I51)</f>
        <v>45972</v>
      </c>
      <c r="I52" s="35" cm="1">
        <f t="array" ref="I52">IF(G52&lt;&gt;"",WORKDAY(Start,Duration-1),IF(Type="M",WORKDAY(Start,Duration-1),""))</f>
        <v>45973</v>
      </c>
      <c r="J52" s="43"/>
      <c r="K52" s="46" t="s">
        <v>493</v>
      </c>
      <c r="L52" s="34"/>
      <c r="M52" s="36" t="str">
        <f t="shared" si="14"/>
        <v/>
      </c>
      <c r="N52" s="34" t="str">
        <f t="shared" si="14"/>
        <v/>
      </c>
      <c r="O52" s="34" t="str">
        <f t="shared" si="14"/>
        <v/>
      </c>
      <c r="P52" s="34" t="str">
        <f t="shared" si="14"/>
        <v/>
      </c>
      <c r="Q52" s="34" t="str">
        <f t="shared" si="14"/>
        <v/>
      </c>
      <c r="R52" s="34"/>
      <c r="S52" s="34"/>
      <c r="T52" s="34" t="str">
        <f t="shared" si="19"/>
        <v/>
      </c>
      <c r="U52" s="34" t="str">
        <f t="shared" si="19"/>
        <v/>
      </c>
      <c r="V52" s="34" t="str">
        <f t="shared" si="19"/>
        <v/>
      </c>
      <c r="W52" s="34" t="str">
        <f t="shared" si="19"/>
        <v/>
      </c>
      <c r="X52" s="34" t="str">
        <f t="shared" si="19"/>
        <v/>
      </c>
      <c r="Y52" s="34"/>
      <c r="Z52" s="34"/>
      <c r="AA52" s="34" t="str">
        <f t="shared" si="15"/>
        <v/>
      </c>
      <c r="AB52" s="34" t="str">
        <f t="shared" si="15"/>
        <v/>
      </c>
      <c r="AC52" s="34" t="str">
        <f t="shared" si="15"/>
        <v/>
      </c>
      <c r="AD52" s="34" t="str">
        <f t="shared" si="15"/>
        <v/>
      </c>
      <c r="AE52" s="34" t="str">
        <f t="shared" si="15"/>
        <v/>
      </c>
      <c r="AF52" s="34"/>
      <c r="AG52" s="34"/>
      <c r="AH52" s="34" t="str">
        <f t="shared" si="18"/>
        <v/>
      </c>
      <c r="AI52" s="34" t="str">
        <f t="shared" si="18"/>
        <v/>
      </c>
      <c r="AJ52" s="34" t="str">
        <f t="shared" si="18"/>
        <v/>
      </c>
      <c r="AK52" s="34" t="str">
        <f t="shared" si="18"/>
        <v/>
      </c>
      <c r="AL52" s="34" t="str">
        <f t="shared" si="18"/>
        <v/>
      </c>
      <c r="AM52" s="34"/>
      <c r="AN52" s="34"/>
      <c r="AO52" s="34" t="str">
        <f t="shared" si="20"/>
        <v/>
      </c>
      <c r="AP52" s="34" t="str">
        <f t="shared" si="20"/>
        <v/>
      </c>
      <c r="AQ52" s="34" t="str">
        <f t="shared" si="20"/>
        <v/>
      </c>
      <c r="AR52" s="34" t="str">
        <f t="shared" si="20"/>
        <v/>
      </c>
      <c r="AS52" s="34" t="str">
        <f t="shared" si="20"/>
        <v/>
      </c>
      <c r="AT52" s="34"/>
      <c r="AU52" s="34"/>
      <c r="AV52" s="34" t="str">
        <f t="shared" si="21"/>
        <v/>
      </c>
      <c r="AW52" s="34" t="str">
        <f t="shared" si="21"/>
        <v/>
      </c>
      <c r="AX52" s="34" t="str">
        <f t="shared" si="21"/>
        <v/>
      </c>
      <c r="AY52" s="34" t="str">
        <f t="shared" si="21"/>
        <v/>
      </c>
      <c r="AZ52" s="34" t="str">
        <f t="shared" si="21"/>
        <v/>
      </c>
      <c r="BA52" s="34"/>
      <c r="BB52" s="34"/>
      <c r="BC52" s="34" t="str">
        <f t="shared" si="17"/>
        <v/>
      </c>
      <c r="BD52" s="34" t="str">
        <f t="shared" si="17"/>
        <v/>
      </c>
      <c r="BE52" s="34" t="str">
        <f t="shared" si="17"/>
        <v/>
      </c>
      <c r="BF52" s="34" t="str">
        <f t="shared" si="17"/>
        <v/>
      </c>
      <c r="BG52" s="34" t="str">
        <f t="shared" si="17"/>
        <v/>
      </c>
      <c r="BH52" s="34"/>
      <c r="BI52" s="34"/>
      <c r="BJ52" s="34"/>
      <c r="BK52" s="34"/>
      <c r="BL52" s="34"/>
      <c r="BM52" s="34"/>
      <c r="BN52" s="34"/>
      <c r="BO52" s="34"/>
      <c r="BP52" s="34"/>
    </row>
    <row r="53" spans="2:68" outlineLevel="1" x14ac:dyDescent="0.25">
      <c r="B53" s="32">
        <f t="shared" si="22"/>
        <v>44</v>
      </c>
      <c r="C53" s="33" t="s">
        <v>5</v>
      </c>
      <c r="D53" s="34" t="s">
        <v>480</v>
      </c>
      <c r="E53" s="34"/>
      <c r="F53" s="40"/>
      <c r="G53" s="33">
        <v>2</v>
      </c>
      <c r="H53" s="35">
        <f t="shared" si="31"/>
        <v>45974</v>
      </c>
      <c r="I53" s="35" cm="1">
        <f t="array" ref="I53">IF(G53&lt;&gt;"",WORKDAY(Start,Duration-1),IF(Type="M",WORKDAY(Start,Duration-1),""))</f>
        <v>45975</v>
      </c>
      <c r="J53" s="43"/>
      <c r="K53" s="46" t="s">
        <v>493</v>
      </c>
      <c r="L53" s="34"/>
      <c r="M53" s="36" t="str">
        <f t="shared" si="14"/>
        <v/>
      </c>
      <c r="N53" s="34" t="str">
        <f t="shared" si="14"/>
        <v/>
      </c>
      <c r="O53" s="34" t="str">
        <f t="shared" si="14"/>
        <v/>
      </c>
      <c r="P53" s="34" t="str">
        <f t="shared" si="14"/>
        <v/>
      </c>
      <c r="Q53" s="34" t="str">
        <f t="shared" si="14"/>
        <v/>
      </c>
      <c r="R53" s="34"/>
      <c r="S53" s="34"/>
      <c r="T53" s="34" t="str">
        <f t="shared" si="19"/>
        <v/>
      </c>
      <c r="U53" s="34" t="str">
        <f t="shared" si="19"/>
        <v/>
      </c>
      <c r="V53" s="34" t="str">
        <f t="shared" si="19"/>
        <v/>
      </c>
      <c r="W53" s="34" t="str">
        <f t="shared" si="19"/>
        <v/>
      </c>
      <c r="X53" s="34" t="str">
        <f t="shared" si="19"/>
        <v/>
      </c>
      <c r="Y53" s="34"/>
      <c r="Z53" s="34"/>
      <c r="AA53" s="34" t="str">
        <f t="shared" si="15"/>
        <v/>
      </c>
      <c r="AB53" s="34" t="str">
        <f t="shared" si="15"/>
        <v/>
      </c>
      <c r="AC53" s="34" t="str">
        <f t="shared" si="15"/>
        <v/>
      </c>
      <c r="AD53" s="34" t="str">
        <f t="shared" si="15"/>
        <v/>
      </c>
      <c r="AE53" s="34" t="str">
        <f t="shared" si="15"/>
        <v/>
      </c>
      <c r="AF53" s="34"/>
      <c r="AG53" s="34"/>
      <c r="AH53" s="34" t="str">
        <f t="shared" si="18"/>
        <v/>
      </c>
      <c r="AI53" s="34" t="str">
        <f t="shared" si="18"/>
        <v/>
      </c>
      <c r="AJ53" s="34" t="str">
        <f t="shared" si="18"/>
        <v/>
      </c>
      <c r="AK53" s="34" t="str">
        <f t="shared" si="18"/>
        <v/>
      </c>
      <c r="AL53" s="34" t="str">
        <f t="shared" si="18"/>
        <v/>
      </c>
      <c r="AM53" s="34"/>
      <c r="AN53" s="34"/>
      <c r="AO53" s="34" t="str">
        <f t="shared" si="20"/>
        <v/>
      </c>
      <c r="AP53" s="34" t="str">
        <f t="shared" si="20"/>
        <v/>
      </c>
      <c r="AQ53" s="34" t="str">
        <f t="shared" si="20"/>
        <v/>
      </c>
      <c r="AR53" s="34" t="str">
        <f t="shared" si="20"/>
        <v/>
      </c>
      <c r="AS53" s="34" t="str">
        <f t="shared" si="20"/>
        <v/>
      </c>
      <c r="AT53" s="34"/>
      <c r="AU53" s="34"/>
      <c r="AV53" s="34" t="str">
        <f t="shared" si="21"/>
        <v/>
      </c>
      <c r="AW53" s="34" t="str">
        <f t="shared" si="21"/>
        <v/>
      </c>
      <c r="AX53" s="34" t="str">
        <f t="shared" si="21"/>
        <v/>
      </c>
      <c r="AY53" s="34" t="str">
        <f t="shared" si="21"/>
        <v/>
      </c>
      <c r="AZ53" s="34" t="str">
        <f t="shared" si="21"/>
        <v/>
      </c>
      <c r="BA53" s="34"/>
      <c r="BB53" s="34"/>
      <c r="BC53" s="34" t="str">
        <f t="shared" si="17"/>
        <v/>
      </c>
      <c r="BD53" s="34" t="str">
        <f t="shared" si="17"/>
        <v/>
      </c>
      <c r="BE53" s="34" t="str">
        <f t="shared" si="17"/>
        <v/>
      </c>
      <c r="BF53" s="34" t="str">
        <f t="shared" si="17"/>
        <v/>
      </c>
      <c r="BG53" s="34" t="str">
        <f t="shared" si="17"/>
        <v/>
      </c>
      <c r="BH53" s="34"/>
      <c r="BI53" s="34"/>
      <c r="BJ53" s="34"/>
      <c r="BK53" s="34"/>
      <c r="BL53" s="34"/>
      <c r="BM53" s="34"/>
      <c r="BN53" s="34"/>
      <c r="BO53" s="34"/>
      <c r="BP53" s="34"/>
    </row>
    <row r="54" spans="2:68" outlineLevel="1" x14ac:dyDescent="0.25">
      <c r="B54" s="32">
        <f t="shared" si="22"/>
        <v>45</v>
      </c>
      <c r="C54" s="33" t="s">
        <v>5</v>
      </c>
      <c r="D54" s="34" t="s">
        <v>481</v>
      </c>
      <c r="E54" s="34"/>
      <c r="F54" s="40"/>
      <c r="G54" s="33">
        <v>2</v>
      </c>
      <c r="H54" s="35">
        <f t="shared" si="31"/>
        <v>45978</v>
      </c>
      <c r="I54" s="35" cm="1">
        <f t="array" ref="I54">IF(G54&lt;&gt;"",WORKDAY(Start,Duration-1),IF(Type="M",WORKDAY(Start,Duration-1),""))</f>
        <v>45979</v>
      </c>
      <c r="J54" s="43"/>
      <c r="K54" s="46" t="s">
        <v>494</v>
      </c>
      <c r="L54" s="34"/>
      <c r="M54" s="36" t="str">
        <f t="shared" si="14"/>
        <v/>
      </c>
      <c r="N54" s="34" t="str">
        <f t="shared" si="14"/>
        <v/>
      </c>
      <c r="O54" s="34" t="str">
        <f t="shared" si="14"/>
        <v/>
      </c>
      <c r="P54" s="34" t="str">
        <f t="shared" si="14"/>
        <v/>
      </c>
      <c r="Q54" s="34" t="str">
        <f t="shared" si="14"/>
        <v/>
      </c>
      <c r="R54" s="34"/>
      <c r="S54" s="34"/>
      <c r="T54" s="34" t="str">
        <f t="shared" si="19"/>
        <v/>
      </c>
      <c r="U54" s="34" t="str">
        <f t="shared" si="19"/>
        <v/>
      </c>
      <c r="V54" s="34" t="str">
        <f t="shared" si="19"/>
        <v/>
      </c>
      <c r="W54" s="34" t="str">
        <f t="shared" si="19"/>
        <v/>
      </c>
      <c r="X54" s="34" t="str">
        <f t="shared" si="19"/>
        <v/>
      </c>
      <c r="Y54" s="34"/>
      <c r="Z54" s="34"/>
      <c r="AA54" s="34" t="str">
        <f t="shared" si="15"/>
        <v/>
      </c>
      <c r="AB54" s="34" t="str">
        <f t="shared" si="15"/>
        <v/>
      </c>
      <c r="AC54" s="34" t="str">
        <f t="shared" si="15"/>
        <v/>
      </c>
      <c r="AD54" s="34" t="str">
        <f t="shared" si="15"/>
        <v/>
      </c>
      <c r="AE54" s="34" t="str">
        <f t="shared" si="15"/>
        <v/>
      </c>
      <c r="AF54" s="34"/>
      <c r="AG54" s="34"/>
      <c r="AH54" s="34" t="str">
        <f t="shared" si="18"/>
        <v/>
      </c>
      <c r="AI54" s="34" t="str">
        <f t="shared" si="18"/>
        <v/>
      </c>
      <c r="AJ54" s="34" t="str">
        <f t="shared" si="18"/>
        <v/>
      </c>
      <c r="AK54" s="34" t="str">
        <f t="shared" si="18"/>
        <v/>
      </c>
      <c r="AL54" s="34" t="str">
        <f t="shared" si="18"/>
        <v/>
      </c>
      <c r="AM54" s="34"/>
      <c r="AN54" s="34"/>
      <c r="AO54" s="34" t="str">
        <f t="shared" si="20"/>
        <v/>
      </c>
      <c r="AP54" s="34" t="str">
        <f t="shared" si="20"/>
        <v/>
      </c>
      <c r="AQ54" s="34" t="str">
        <f t="shared" si="20"/>
        <v/>
      </c>
      <c r="AR54" s="34" t="str">
        <f t="shared" si="20"/>
        <v/>
      </c>
      <c r="AS54" s="34" t="str">
        <f t="shared" si="20"/>
        <v/>
      </c>
      <c r="AT54" s="34"/>
      <c r="AU54" s="34"/>
      <c r="AV54" s="34" t="str">
        <f t="shared" si="21"/>
        <v/>
      </c>
      <c r="AW54" s="34" t="str">
        <f t="shared" si="21"/>
        <v/>
      </c>
      <c r="AX54" s="34" t="str">
        <f t="shared" si="21"/>
        <v/>
      </c>
      <c r="AY54" s="34" t="str">
        <f t="shared" si="21"/>
        <v/>
      </c>
      <c r="AZ54" s="34" t="str">
        <f t="shared" si="21"/>
        <v/>
      </c>
      <c r="BA54" s="34"/>
      <c r="BB54" s="34"/>
      <c r="BC54" s="34" t="str">
        <f t="shared" si="17"/>
        <v/>
      </c>
      <c r="BD54" s="34" t="str">
        <f t="shared" si="17"/>
        <v/>
      </c>
      <c r="BE54" s="34" t="str">
        <f t="shared" si="17"/>
        <v/>
      </c>
      <c r="BF54" s="34" t="str">
        <f t="shared" si="17"/>
        <v/>
      </c>
      <c r="BG54" s="34" t="str">
        <f t="shared" si="17"/>
        <v/>
      </c>
      <c r="BH54" s="34"/>
      <c r="BI54" s="34"/>
      <c r="BJ54" s="34"/>
      <c r="BK54" s="34"/>
      <c r="BL54" s="34"/>
      <c r="BM54" s="34"/>
      <c r="BN54" s="34"/>
      <c r="BO54" s="34"/>
      <c r="BP54" s="34"/>
    </row>
    <row r="55" spans="2:68" outlineLevel="1" x14ac:dyDescent="0.25">
      <c r="B55" s="32">
        <f t="shared" si="22"/>
        <v>46</v>
      </c>
      <c r="C55" s="33" t="s">
        <v>5</v>
      </c>
      <c r="D55" s="34" t="s">
        <v>483</v>
      </c>
      <c r="E55" s="34"/>
      <c r="F55" s="40"/>
      <c r="G55" s="33">
        <v>2</v>
      </c>
      <c r="H55" s="35">
        <f t="shared" si="31"/>
        <v>45980</v>
      </c>
      <c r="I55" s="35" cm="1">
        <f t="array" ref="I55">IF(G55&lt;&gt;"",WORKDAY(Start,Duration-1),IF(Type="M",WORKDAY(Start,Duration-1),""))</f>
        <v>45981</v>
      </c>
      <c r="J55" s="43"/>
      <c r="K55" s="46" t="s">
        <v>494</v>
      </c>
      <c r="L55" s="34" t="s">
        <v>486</v>
      </c>
      <c r="M55" s="36" t="str">
        <f t="shared" si="14"/>
        <v/>
      </c>
      <c r="N55" s="34" t="str">
        <f t="shared" si="14"/>
        <v/>
      </c>
      <c r="O55" s="34" t="str">
        <f t="shared" si="14"/>
        <v/>
      </c>
      <c r="P55" s="34" t="str">
        <f t="shared" si="14"/>
        <v/>
      </c>
      <c r="Q55" s="34" t="str">
        <f t="shared" si="14"/>
        <v/>
      </c>
      <c r="R55" s="34"/>
      <c r="S55" s="34"/>
      <c r="T55" s="34" t="str">
        <f t="shared" si="19"/>
        <v/>
      </c>
      <c r="U55" s="34" t="str">
        <f t="shared" si="19"/>
        <v/>
      </c>
      <c r="V55" s="34" t="str">
        <f t="shared" si="19"/>
        <v/>
      </c>
      <c r="W55" s="34" t="str">
        <f t="shared" si="19"/>
        <v/>
      </c>
      <c r="X55" s="34" t="str">
        <f t="shared" si="19"/>
        <v/>
      </c>
      <c r="Y55" s="34"/>
      <c r="Z55" s="34"/>
      <c r="AA55" s="34" t="str">
        <f t="shared" si="15"/>
        <v/>
      </c>
      <c r="AB55" s="34" t="str">
        <f t="shared" si="15"/>
        <v/>
      </c>
      <c r="AC55" s="34" t="str">
        <f t="shared" si="15"/>
        <v/>
      </c>
      <c r="AD55" s="34" t="str">
        <f t="shared" si="15"/>
        <v/>
      </c>
      <c r="AE55" s="34" t="str">
        <f t="shared" si="15"/>
        <v/>
      </c>
      <c r="AF55" s="34"/>
      <c r="AG55" s="34"/>
      <c r="AH55" s="34" t="str">
        <f t="shared" si="18"/>
        <v/>
      </c>
      <c r="AI55" s="34" t="str">
        <f t="shared" si="18"/>
        <v/>
      </c>
      <c r="AJ55" s="34" t="str">
        <f t="shared" si="18"/>
        <v/>
      </c>
      <c r="AK55" s="34" t="str">
        <f t="shared" si="18"/>
        <v/>
      </c>
      <c r="AL55" s="34" t="str">
        <f t="shared" si="18"/>
        <v/>
      </c>
      <c r="AM55" s="34"/>
      <c r="AN55" s="34"/>
      <c r="AO55" s="34" t="str">
        <f t="shared" si="20"/>
        <v/>
      </c>
      <c r="AP55" s="34" t="str">
        <f t="shared" si="20"/>
        <v/>
      </c>
      <c r="AQ55" s="34" t="str">
        <f t="shared" si="20"/>
        <v/>
      </c>
      <c r="AR55" s="34" t="str">
        <f t="shared" si="20"/>
        <v/>
      </c>
      <c r="AS55" s="34" t="str">
        <f t="shared" si="20"/>
        <v/>
      </c>
      <c r="AT55" s="34"/>
      <c r="AU55" s="34"/>
      <c r="AV55" s="34" t="str">
        <f t="shared" si="21"/>
        <v/>
      </c>
      <c r="AW55" s="34" t="str">
        <f t="shared" si="21"/>
        <v/>
      </c>
      <c r="AX55" s="34" t="str">
        <f t="shared" si="21"/>
        <v/>
      </c>
      <c r="AY55" s="34" t="str">
        <f t="shared" si="21"/>
        <v/>
      </c>
      <c r="AZ55" s="34" t="str">
        <f t="shared" si="21"/>
        <v/>
      </c>
      <c r="BA55" s="34"/>
      <c r="BB55" s="34"/>
      <c r="BC55" s="34" t="str">
        <f t="shared" si="17"/>
        <v/>
      </c>
      <c r="BD55" s="34" t="str">
        <f t="shared" si="17"/>
        <v/>
      </c>
      <c r="BE55" s="34" t="str">
        <f t="shared" si="17"/>
        <v/>
      </c>
      <c r="BF55" s="34" t="str">
        <f t="shared" si="17"/>
        <v/>
      </c>
      <c r="BG55" s="34" t="str">
        <f t="shared" si="17"/>
        <v/>
      </c>
      <c r="BH55" s="34"/>
      <c r="BI55" s="34"/>
      <c r="BJ55" s="34"/>
      <c r="BK55" s="34"/>
      <c r="BL55" s="34"/>
      <c r="BM55" s="34"/>
      <c r="BN55" s="34"/>
      <c r="BO55" s="34"/>
      <c r="BP55" s="34"/>
    </row>
    <row r="56" spans="2:68" outlineLevel="1" x14ac:dyDescent="0.25">
      <c r="B56" s="32">
        <f t="shared" si="22"/>
        <v>47</v>
      </c>
      <c r="C56" s="33" t="s">
        <v>5</v>
      </c>
      <c r="D56" s="34" t="s">
        <v>482</v>
      </c>
      <c r="E56" s="34"/>
      <c r="F56" s="40"/>
      <c r="G56" s="33">
        <v>2</v>
      </c>
      <c r="H56" s="35">
        <f t="shared" si="31"/>
        <v>45982</v>
      </c>
      <c r="I56" s="35" cm="1">
        <f t="array" ref="I56">IF(G56&lt;&gt;"",WORKDAY(Start,Duration-1),IF(Type="M",WORKDAY(Start,Duration-1),""))</f>
        <v>45985</v>
      </c>
      <c r="J56" s="43"/>
      <c r="K56" s="46" t="s">
        <v>495</v>
      </c>
      <c r="L56" s="34" t="s">
        <v>487</v>
      </c>
      <c r="M56" s="36" t="str">
        <f t="shared" si="14"/>
        <v/>
      </c>
      <c r="N56" s="34" t="str">
        <f t="shared" si="14"/>
        <v/>
      </c>
      <c r="O56" s="34" t="str">
        <f t="shared" si="14"/>
        <v/>
      </c>
      <c r="P56" s="34" t="str">
        <f t="shared" si="14"/>
        <v/>
      </c>
      <c r="Q56" s="34" t="str">
        <f t="shared" si="14"/>
        <v/>
      </c>
      <c r="R56" s="34"/>
      <c r="S56" s="34"/>
      <c r="T56" s="34" t="str">
        <f t="shared" si="19"/>
        <v/>
      </c>
      <c r="U56" s="34" t="str">
        <f t="shared" si="19"/>
        <v/>
      </c>
      <c r="V56" s="34" t="str">
        <f t="shared" si="19"/>
        <v/>
      </c>
      <c r="W56" s="34" t="str">
        <f t="shared" si="19"/>
        <v/>
      </c>
      <c r="X56" s="34" t="str">
        <f t="shared" si="19"/>
        <v/>
      </c>
      <c r="Y56" s="34"/>
      <c r="Z56" s="34"/>
      <c r="AA56" s="34" t="str">
        <f t="shared" si="15"/>
        <v/>
      </c>
      <c r="AB56" s="34" t="str">
        <f t="shared" si="15"/>
        <v/>
      </c>
      <c r="AC56" s="34" t="str">
        <f t="shared" si="15"/>
        <v/>
      </c>
      <c r="AD56" s="34" t="str">
        <f t="shared" si="15"/>
        <v/>
      </c>
      <c r="AE56" s="34" t="str">
        <f t="shared" si="15"/>
        <v/>
      </c>
      <c r="AF56" s="34"/>
      <c r="AG56" s="34"/>
      <c r="AH56" s="34" t="str">
        <f t="shared" si="18"/>
        <v/>
      </c>
      <c r="AI56" s="34" t="str">
        <f t="shared" si="18"/>
        <v/>
      </c>
      <c r="AJ56" s="34" t="str">
        <f t="shared" si="18"/>
        <v/>
      </c>
      <c r="AK56" s="34" t="str">
        <f t="shared" si="18"/>
        <v/>
      </c>
      <c r="AL56" s="34" t="str">
        <f t="shared" si="18"/>
        <v/>
      </c>
      <c r="AM56" s="34"/>
      <c r="AN56" s="34"/>
      <c r="AO56" s="34" t="str">
        <f t="shared" si="20"/>
        <v/>
      </c>
      <c r="AP56" s="34" t="str">
        <f t="shared" si="20"/>
        <v/>
      </c>
      <c r="AQ56" s="34" t="str">
        <f t="shared" si="20"/>
        <v/>
      </c>
      <c r="AR56" s="34" t="str">
        <f t="shared" si="20"/>
        <v/>
      </c>
      <c r="AS56" s="34" t="str">
        <f t="shared" si="20"/>
        <v/>
      </c>
      <c r="AT56" s="34"/>
      <c r="AU56" s="34"/>
      <c r="AV56" s="34" t="str">
        <f t="shared" si="21"/>
        <v/>
      </c>
      <c r="AW56" s="34" t="str">
        <f t="shared" si="21"/>
        <v/>
      </c>
      <c r="AX56" s="34" t="str">
        <f t="shared" si="21"/>
        <v/>
      </c>
      <c r="AY56" s="34" t="str">
        <f t="shared" si="21"/>
        <v/>
      </c>
      <c r="AZ56" s="34" t="str">
        <f t="shared" si="21"/>
        <v/>
      </c>
      <c r="BA56" s="34"/>
      <c r="BB56" s="34"/>
      <c r="BC56" s="34" t="str">
        <f t="shared" si="17"/>
        <v/>
      </c>
      <c r="BD56" s="34" t="str">
        <f t="shared" si="17"/>
        <v/>
      </c>
      <c r="BE56" s="34" t="str">
        <f t="shared" si="17"/>
        <v/>
      </c>
      <c r="BF56" s="34" t="str">
        <f t="shared" si="17"/>
        <v/>
      </c>
      <c r="BG56" s="34" t="str">
        <f t="shared" si="17"/>
        <v/>
      </c>
      <c r="BH56" s="34"/>
      <c r="BI56" s="34"/>
      <c r="BJ56" s="34"/>
      <c r="BK56" s="34"/>
      <c r="BL56" s="34"/>
      <c r="BM56" s="34"/>
      <c r="BN56" s="34"/>
      <c r="BO56" s="34"/>
      <c r="BP56" s="34"/>
    </row>
    <row r="57" spans="2:68" outlineLevel="1" x14ac:dyDescent="0.25">
      <c r="B57" s="32">
        <f t="shared" si="22"/>
        <v>48</v>
      </c>
      <c r="C57" s="33" t="s">
        <v>5</v>
      </c>
      <c r="D57" s="34" t="s">
        <v>544</v>
      </c>
      <c r="E57" s="34"/>
      <c r="F57" s="40"/>
      <c r="G57" s="33">
        <v>2</v>
      </c>
      <c r="H57" s="35">
        <f t="shared" si="31"/>
        <v>45986</v>
      </c>
      <c r="I57" s="35" cm="1">
        <f t="array" ref="I57">IF(G57&lt;&gt;"",WORKDAY(Start,Duration-1),IF(Type="M",WORKDAY(Start,Duration-1),""))</f>
        <v>45987</v>
      </c>
      <c r="J57" s="43"/>
      <c r="K57" s="46" t="s">
        <v>496</v>
      </c>
      <c r="L57" s="34"/>
      <c r="M57" s="36" t="str">
        <f t="shared" si="14"/>
        <v/>
      </c>
      <c r="N57" s="34" t="str">
        <f t="shared" si="14"/>
        <v/>
      </c>
      <c r="O57" s="34" t="str">
        <f t="shared" si="14"/>
        <v/>
      </c>
      <c r="P57" s="34" t="str">
        <f t="shared" si="14"/>
        <v/>
      </c>
      <c r="Q57" s="34" t="str">
        <f t="shared" si="14"/>
        <v/>
      </c>
      <c r="R57" s="34"/>
      <c r="S57" s="34"/>
      <c r="T57" s="34" t="str">
        <f t="shared" si="19"/>
        <v/>
      </c>
      <c r="U57" s="34" t="str">
        <f t="shared" si="19"/>
        <v/>
      </c>
      <c r="V57" s="34" t="str">
        <f t="shared" si="19"/>
        <v/>
      </c>
      <c r="W57" s="34" t="str">
        <f t="shared" si="19"/>
        <v/>
      </c>
      <c r="X57" s="34" t="str">
        <f t="shared" si="19"/>
        <v/>
      </c>
      <c r="Y57" s="34"/>
      <c r="Z57" s="34"/>
      <c r="AA57" s="34" t="str">
        <f t="shared" si="15"/>
        <v/>
      </c>
      <c r="AB57" s="34" t="str">
        <f t="shared" si="15"/>
        <v/>
      </c>
      <c r="AC57" s="34" t="str">
        <f t="shared" si="15"/>
        <v/>
      </c>
      <c r="AD57" s="34" t="str">
        <f t="shared" si="15"/>
        <v/>
      </c>
      <c r="AE57" s="34" t="str">
        <f t="shared" si="15"/>
        <v/>
      </c>
      <c r="AF57" s="34"/>
      <c r="AG57" s="34"/>
      <c r="AH57" s="34" t="str">
        <f t="shared" si="18"/>
        <v/>
      </c>
      <c r="AI57" s="34" t="str">
        <f t="shared" si="18"/>
        <v/>
      </c>
      <c r="AJ57" s="34" t="str">
        <f t="shared" si="18"/>
        <v/>
      </c>
      <c r="AK57" s="34" t="str">
        <f t="shared" si="18"/>
        <v/>
      </c>
      <c r="AL57" s="34" t="str">
        <f t="shared" si="18"/>
        <v/>
      </c>
      <c r="AM57" s="34"/>
      <c r="AN57" s="34"/>
      <c r="AO57" s="34" t="str">
        <f t="shared" si="20"/>
        <v/>
      </c>
      <c r="AP57" s="34" t="str">
        <f t="shared" si="20"/>
        <v/>
      </c>
      <c r="AQ57" s="34" t="str">
        <f t="shared" si="20"/>
        <v/>
      </c>
      <c r="AR57" s="34" t="str">
        <f t="shared" si="20"/>
        <v/>
      </c>
      <c r="AS57" s="34" t="str">
        <f t="shared" si="20"/>
        <v/>
      </c>
      <c r="AT57" s="34"/>
      <c r="AU57" s="34"/>
      <c r="AV57" s="34" t="str">
        <f t="shared" si="21"/>
        <v/>
      </c>
      <c r="AW57" s="34" t="str">
        <f t="shared" si="21"/>
        <v/>
      </c>
      <c r="AX57" s="34" t="str">
        <f t="shared" si="21"/>
        <v/>
      </c>
      <c r="AY57" s="34" t="str">
        <f t="shared" si="21"/>
        <v/>
      </c>
      <c r="AZ57" s="34" t="str">
        <f t="shared" si="21"/>
        <v/>
      </c>
      <c r="BA57" s="34"/>
      <c r="BB57" s="34"/>
      <c r="BC57" s="34" t="str">
        <f t="shared" si="17"/>
        <v/>
      </c>
      <c r="BD57" s="34" t="str">
        <f t="shared" si="17"/>
        <v/>
      </c>
      <c r="BE57" s="34" t="str">
        <f t="shared" si="17"/>
        <v/>
      </c>
      <c r="BF57" s="34" t="str">
        <f t="shared" si="17"/>
        <v/>
      </c>
      <c r="BG57" s="34" t="str">
        <f t="shared" si="17"/>
        <v/>
      </c>
      <c r="BH57" s="34"/>
      <c r="BI57" s="34"/>
      <c r="BJ57" s="34"/>
      <c r="BK57" s="34"/>
      <c r="BL57" s="34"/>
      <c r="BM57" s="34"/>
      <c r="BN57" s="34"/>
      <c r="BO57" s="34"/>
      <c r="BP57" s="34"/>
    </row>
    <row r="58" spans="2:68" ht="31.5" outlineLevel="1" x14ac:dyDescent="0.25">
      <c r="B58" s="32">
        <f t="shared" si="22"/>
        <v>49</v>
      </c>
      <c r="C58" s="33" t="s">
        <v>5</v>
      </c>
      <c r="D58" s="34" t="s">
        <v>488</v>
      </c>
      <c r="E58" s="34"/>
      <c r="F58" s="40"/>
      <c r="G58" s="33">
        <v>1</v>
      </c>
      <c r="H58" s="35">
        <f t="shared" si="31"/>
        <v>45988</v>
      </c>
      <c r="I58" s="35" cm="1">
        <f t="array" ref="I58">IF(G58&lt;&gt;"",WORKDAY(Start,Duration-1),IF(Type="M",WORKDAY(Start,Duration-1),""))</f>
        <v>45988</v>
      </c>
      <c r="J58" s="43"/>
      <c r="K58" s="46" t="s">
        <v>496</v>
      </c>
      <c r="L58" s="58" t="s">
        <v>489</v>
      </c>
      <c r="M58" s="36" t="str">
        <f t="shared" si="14"/>
        <v/>
      </c>
      <c r="N58" s="34" t="str">
        <f t="shared" si="14"/>
        <v/>
      </c>
      <c r="O58" s="34" t="str">
        <f t="shared" si="14"/>
        <v/>
      </c>
      <c r="P58" s="34" t="str">
        <f t="shared" si="14"/>
        <v/>
      </c>
      <c r="Q58" s="34" t="str">
        <f t="shared" si="14"/>
        <v/>
      </c>
      <c r="R58" s="34"/>
      <c r="S58" s="34"/>
      <c r="T58" s="34" t="str">
        <f t="shared" si="19"/>
        <v/>
      </c>
      <c r="U58" s="34" t="str">
        <f t="shared" si="19"/>
        <v/>
      </c>
      <c r="V58" s="34" t="str">
        <f t="shared" si="19"/>
        <v/>
      </c>
      <c r="W58" s="34" t="str">
        <f t="shared" si="19"/>
        <v/>
      </c>
      <c r="X58" s="34" t="str">
        <f t="shared" si="19"/>
        <v/>
      </c>
      <c r="Y58" s="34"/>
      <c r="Z58" s="34"/>
      <c r="AA58" s="34" t="str">
        <f t="shared" si="15"/>
        <v/>
      </c>
      <c r="AB58" s="34" t="str">
        <f t="shared" si="15"/>
        <v/>
      </c>
      <c r="AC58" s="34" t="str">
        <f t="shared" si="15"/>
        <v/>
      </c>
      <c r="AD58" s="34" t="str">
        <f t="shared" si="15"/>
        <v/>
      </c>
      <c r="AE58" s="34" t="str">
        <f t="shared" si="15"/>
        <v/>
      </c>
      <c r="AF58" s="34"/>
      <c r="AG58" s="34"/>
      <c r="AH58" s="34" t="str">
        <f t="shared" si="18"/>
        <v/>
      </c>
      <c r="AI58" s="34" t="str">
        <f t="shared" si="18"/>
        <v/>
      </c>
      <c r="AJ58" s="34" t="str">
        <f t="shared" si="18"/>
        <v/>
      </c>
      <c r="AK58" s="34" t="str">
        <f t="shared" si="18"/>
        <v/>
      </c>
      <c r="AL58" s="34" t="str">
        <f t="shared" si="18"/>
        <v/>
      </c>
      <c r="AM58" s="34"/>
      <c r="AN58" s="34"/>
      <c r="AO58" s="34" t="str">
        <f t="shared" si="20"/>
        <v/>
      </c>
      <c r="AP58" s="34" t="str">
        <f t="shared" si="20"/>
        <v/>
      </c>
      <c r="AQ58" s="34" t="str">
        <f t="shared" si="20"/>
        <v/>
      </c>
      <c r="AR58" s="34" t="str">
        <f t="shared" si="20"/>
        <v/>
      </c>
      <c r="AS58" s="34" t="str">
        <f t="shared" si="20"/>
        <v/>
      </c>
      <c r="AT58" s="34"/>
      <c r="AU58" s="34"/>
      <c r="AV58" s="34" t="str">
        <f t="shared" si="21"/>
        <v/>
      </c>
      <c r="AW58" s="34" t="str">
        <f t="shared" si="21"/>
        <v/>
      </c>
      <c r="AX58" s="34" t="str">
        <f t="shared" si="21"/>
        <v/>
      </c>
      <c r="AY58" s="34" t="str">
        <f t="shared" si="21"/>
        <v/>
      </c>
      <c r="AZ58" s="34" t="str">
        <f t="shared" si="21"/>
        <v/>
      </c>
      <c r="BA58" s="34"/>
      <c r="BB58" s="34"/>
      <c r="BC58" s="34" t="str">
        <f t="shared" si="17"/>
        <v/>
      </c>
      <c r="BD58" s="34" t="str">
        <f t="shared" si="17"/>
        <v/>
      </c>
      <c r="BE58" s="34" t="str">
        <f t="shared" si="17"/>
        <v/>
      </c>
      <c r="BF58" s="34" t="str">
        <f t="shared" si="17"/>
        <v/>
      </c>
      <c r="BG58" s="34" t="str">
        <f t="shared" si="17"/>
        <v/>
      </c>
      <c r="BH58" s="34"/>
      <c r="BI58" s="34"/>
      <c r="BJ58" s="34"/>
      <c r="BK58" s="34"/>
      <c r="BL58" s="34"/>
      <c r="BM58" s="34"/>
      <c r="BN58" s="34"/>
      <c r="BO58" s="34"/>
      <c r="BP58" s="34"/>
    </row>
    <row r="59" spans="2:68" outlineLevel="1" x14ac:dyDescent="0.25">
      <c r="B59" s="32">
        <f t="shared" si="22"/>
        <v>50</v>
      </c>
      <c r="C59" s="33" t="s">
        <v>5</v>
      </c>
      <c r="D59" s="34" t="s">
        <v>484</v>
      </c>
      <c r="E59" s="34"/>
      <c r="F59" s="40"/>
      <c r="G59" s="33">
        <v>2</v>
      </c>
      <c r="H59" s="35">
        <f t="shared" si="31"/>
        <v>45989</v>
      </c>
      <c r="I59" s="35" cm="1">
        <f t="array" ref="I59">IF(G59&lt;&gt;"",WORKDAY(Start,Duration-1),IF(Type="M",WORKDAY(Start,Duration-1),""))</f>
        <v>45992</v>
      </c>
      <c r="J59" s="43"/>
      <c r="K59" s="46" t="s">
        <v>493</v>
      </c>
      <c r="L59" s="34"/>
      <c r="M59" s="36" t="str">
        <f t="shared" si="14"/>
        <v/>
      </c>
      <c r="N59" s="34" t="str">
        <f t="shared" si="14"/>
        <v/>
      </c>
      <c r="O59" s="34" t="str">
        <f t="shared" si="14"/>
        <v/>
      </c>
      <c r="P59" s="34" t="str">
        <f t="shared" si="14"/>
        <v/>
      </c>
      <c r="Q59" s="34" t="str">
        <f t="shared" si="14"/>
        <v/>
      </c>
      <c r="R59" s="34"/>
      <c r="S59" s="34"/>
      <c r="T59" s="34" t="str">
        <f t="shared" si="19"/>
        <v/>
      </c>
      <c r="U59" s="34" t="str">
        <f t="shared" si="19"/>
        <v/>
      </c>
      <c r="V59" s="34" t="str">
        <f t="shared" si="19"/>
        <v/>
      </c>
      <c r="W59" s="34" t="str">
        <f t="shared" si="19"/>
        <v/>
      </c>
      <c r="X59" s="34" t="str">
        <f t="shared" si="19"/>
        <v/>
      </c>
      <c r="Y59" s="34"/>
      <c r="Z59" s="34"/>
      <c r="AA59" s="34" t="str">
        <f t="shared" si="15"/>
        <v/>
      </c>
      <c r="AB59" s="34" t="str">
        <f t="shared" si="15"/>
        <v/>
      </c>
      <c r="AC59" s="34" t="str">
        <f t="shared" si="15"/>
        <v/>
      </c>
      <c r="AD59" s="34" t="str">
        <f t="shared" si="15"/>
        <v/>
      </c>
      <c r="AE59" s="34" t="str">
        <f t="shared" si="15"/>
        <v/>
      </c>
      <c r="AF59" s="34"/>
      <c r="AG59" s="34"/>
      <c r="AH59" s="34" t="str">
        <f t="shared" si="18"/>
        <v/>
      </c>
      <c r="AI59" s="34" t="str">
        <f t="shared" si="18"/>
        <v/>
      </c>
      <c r="AJ59" s="34" t="str">
        <f t="shared" si="18"/>
        <v/>
      </c>
      <c r="AK59" s="34" t="str">
        <f t="shared" si="18"/>
        <v/>
      </c>
      <c r="AL59" s="34" t="str">
        <f t="shared" si="18"/>
        <v/>
      </c>
      <c r="AM59" s="34"/>
      <c r="AN59" s="34"/>
      <c r="AO59" s="34" t="str">
        <f t="shared" si="20"/>
        <v/>
      </c>
      <c r="AP59" s="34" t="str">
        <f t="shared" si="20"/>
        <v/>
      </c>
      <c r="AQ59" s="34" t="str">
        <f t="shared" si="20"/>
        <v/>
      </c>
      <c r="AR59" s="34" t="str">
        <f t="shared" si="20"/>
        <v/>
      </c>
      <c r="AS59" s="34" t="str">
        <f t="shared" si="20"/>
        <v/>
      </c>
      <c r="AT59" s="34"/>
      <c r="AU59" s="34"/>
      <c r="AV59" s="34" t="str">
        <f t="shared" si="21"/>
        <v/>
      </c>
      <c r="AW59" s="34" t="str">
        <f t="shared" si="21"/>
        <v/>
      </c>
      <c r="AX59" s="34" t="str">
        <f t="shared" si="21"/>
        <v/>
      </c>
      <c r="AY59" s="34" t="str">
        <f t="shared" si="21"/>
        <v/>
      </c>
      <c r="AZ59" s="34" t="str">
        <f t="shared" si="21"/>
        <v/>
      </c>
      <c r="BA59" s="34"/>
      <c r="BB59" s="34"/>
      <c r="BC59" s="34" t="str">
        <f t="shared" si="17"/>
        <v/>
      </c>
      <c r="BD59" s="34" t="str">
        <f t="shared" si="17"/>
        <v/>
      </c>
      <c r="BE59" s="34" t="str">
        <f t="shared" si="17"/>
        <v/>
      </c>
      <c r="BF59" s="34" t="str">
        <f t="shared" si="17"/>
        <v/>
      </c>
      <c r="BG59" s="34" t="str">
        <f t="shared" si="17"/>
        <v/>
      </c>
      <c r="BH59" s="34"/>
      <c r="BI59" s="34"/>
      <c r="BJ59" s="34"/>
      <c r="BK59" s="34"/>
      <c r="BL59" s="34"/>
      <c r="BM59" s="34"/>
      <c r="BN59" s="34"/>
      <c r="BO59" s="34"/>
      <c r="BP59" s="34"/>
    </row>
    <row r="60" spans="2:68" outlineLevel="1" x14ac:dyDescent="0.25">
      <c r="B60" s="32">
        <f t="shared" si="22"/>
        <v>51</v>
      </c>
      <c r="C60" s="33" t="s">
        <v>5</v>
      </c>
      <c r="D60" s="34" t="s">
        <v>485</v>
      </c>
      <c r="E60" s="34"/>
      <c r="F60" s="40"/>
      <c r="G60" s="33">
        <v>1</v>
      </c>
      <c r="H60" s="35">
        <f t="shared" si="31"/>
        <v>45993</v>
      </c>
      <c r="I60" s="35" cm="1">
        <f t="array" ref="I60">IF(G60&lt;&gt;"",WORKDAY(Start,Duration-1),IF(Type="M",WORKDAY(Start,Duration-1),""))</f>
        <v>45993</v>
      </c>
      <c r="J60" s="43"/>
      <c r="K60" s="46" t="s">
        <v>379</v>
      </c>
      <c r="L60" s="34"/>
      <c r="M60" s="36" t="str">
        <f t="shared" si="14"/>
        <v/>
      </c>
      <c r="N60" s="34" t="str">
        <f t="shared" si="14"/>
        <v/>
      </c>
      <c r="O60" s="34" t="str">
        <f t="shared" si="14"/>
        <v/>
      </c>
      <c r="P60" s="34" t="str">
        <f t="shared" si="14"/>
        <v/>
      </c>
      <c r="Q60" s="34" t="str">
        <f t="shared" si="14"/>
        <v/>
      </c>
      <c r="R60" s="34"/>
      <c r="S60" s="34"/>
      <c r="T60" s="34" t="str">
        <f t="shared" si="19"/>
        <v/>
      </c>
      <c r="U60" s="34" t="str">
        <f t="shared" si="19"/>
        <v/>
      </c>
      <c r="V60" s="34" t="str">
        <f t="shared" si="19"/>
        <v/>
      </c>
      <c r="W60" s="34" t="str">
        <f t="shared" si="19"/>
        <v/>
      </c>
      <c r="X60" s="34" t="str">
        <f t="shared" si="19"/>
        <v/>
      </c>
      <c r="Y60" s="34"/>
      <c r="Z60" s="34"/>
      <c r="AA60" s="34" t="str">
        <f t="shared" si="15"/>
        <v/>
      </c>
      <c r="AB60" s="34" t="str">
        <f t="shared" si="15"/>
        <v/>
      </c>
      <c r="AC60" s="34" t="str">
        <f t="shared" si="15"/>
        <v/>
      </c>
      <c r="AD60" s="34" t="str">
        <f t="shared" si="15"/>
        <v/>
      </c>
      <c r="AE60" s="34" t="str">
        <f t="shared" si="15"/>
        <v/>
      </c>
      <c r="AF60" s="34"/>
      <c r="AG60" s="34"/>
      <c r="AH60" s="34" t="str">
        <f t="shared" si="18"/>
        <v/>
      </c>
      <c r="AI60" s="34" t="str">
        <f t="shared" si="18"/>
        <v/>
      </c>
      <c r="AJ60" s="34" t="str">
        <f t="shared" si="18"/>
        <v/>
      </c>
      <c r="AK60" s="34" t="str">
        <f t="shared" si="18"/>
        <v/>
      </c>
      <c r="AL60" s="34" t="str">
        <f t="shared" si="18"/>
        <v/>
      </c>
      <c r="AM60" s="34"/>
      <c r="AN60" s="34"/>
      <c r="AO60" s="34" t="str">
        <f t="shared" si="20"/>
        <v/>
      </c>
      <c r="AP60" s="34" t="str">
        <f t="shared" si="20"/>
        <v/>
      </c>
      <c r="AQ60" s="34" t="str">
        <f t="shared" si="20"/>
        <v/>
      </c>
      <c r="AR60" s="34" t="str">
        <f t="shared" si="20"/>
        <v/>
      </c>
      <c r="AS60" s="34" t="str">
        <f t="shared" si="20"/>
        <v/>
      </c>
      <c r="AT60" s="34"/>
      <c r="AU60" s="34"/>
      <c r="AV60" s="34" t="str">
        <f t="shared" si="21"/>
        <v/>
      </c>
      <c r="AW60" s="34" t="str">
        <f t="shared" si="21"/>
        <v/>
      </c>
      <c r="AX60" s="34" t="str">
        <f t="shared" si="21"/>
        <v/>
      </c>
      <c r="AY60" s="34" t="str">
        <f t="shared" si="21"/>
        <v/>
      </c>
      <c r="AZ60" s="34" t="str">
        <f t="shared" si="21"/>
        <v/>
      </c>
      <c r="BA60" s="34"/>
      <c r="BB60" s="34"/>
      <c r="BC60" s="34" t="str">
        <f t="shared" si="17"/>
        <v/>
      </c>
      <c r="BD60" s="34" t="str">
        <f t="shared" si="17"/>
        <v/>
      </c>
      <c r="BE60" s="34" t="str">
        <f t="shared" si="17"/>
        <v/>
      </c>
      <c r="BF60" s="34" t="str">
        <f t="shared" si="17"/>
        <v/>
      </c>
      <c r="BG60" s="34" t="str">
        <f t="shared" si="17"/>
        <v/>
      </c>
      <c r="BH60" s="34"/>
      <c r="BI60" s="34"/>
      <c r="BJ60" s="34"/>
      <c r="BK60" s="34"/>
      <c r="BL60" s="34"/>
      <c r="BM60" s="34"/>
      <c r="BN60" s="34"/>
      <c r="BO60" s="34"/>
      <c r="BP60" s="34"/>
    </row>
    <row r="61" spans="2:68" x14ac:dyDescent="0.25">
      <c r="B61" s="32">
        <f t="shared" si="22"/>
        <v>52</v>
      </c>
      <c r="C61" s="33" t="s">
        <v>1</v>
      </c>
      <c r="D61" s="37" t="s">
        <v>448</v>
      </c>
      <c r="E61" s="37"/>
      <c r="F61" s="41"/>
      <c r="G61" s="33">
        <f>SUM(G62:G71)</f>
        <v>32</v>
      </c>
      <c r="H61" s="35">
        <f t="shared" si="31"/>
        <v>45994</v>
      </c>
      <c r="I61" s="35" cm="1">
        <f t="array" ref="I61">IF(G61&lt;&gt;"",WORKDAY(Start,Duration-1),IF(Type="M",WORKDAY(Start,Duration-1),""))</f>
        <v>46037</v>
      </c>
      <c r="J61" s="43" cm="1">
        <f t="array" ref="J61">SUM(J62:J71*G62:G71)/SUM(G62:G71)</f>
        <v>0</v>
      </c>
      <c r="K61" s="46"/>
      <c r="L61" s="34"/>
      <c r="M61" s="36" t="str">
        <f t="shared" si="14"/>
        <v/>
      </c>
      <c r="N61" s="34" t="str">
        <f t="shared" si="14"/>
        <v/>
      </c>
      <c r="O61" s="34" t="str">
        <f t="shared" si="14"/>
        <v/>
      </c>
      <c r="P61" s="34" t="str">
        <f t="shared" si="14"/>
        <v/>
      </c>
      <c r="Q61" s="34" t="str">
        <f t="shared" si="14"/>
        <v/>
      </c>
      <c r="R61" s="34" t="str">
        <f t="shared" ref="R61:S75" si="32">IF(AND(Type="M",Start=Date),"◆","")</f>
        <v/>
      </c>
      <c r="S61" s="34" t="str">
        <f t="shared" si="32"/>
        <v/>
      </c>
      <c r="T61" s="34" t="str">
        <f t="shared" si="19"/>
        <v/>
      </c>
      <c r="U61" s="34" t="str">
        <f t="shared" si="19"/>
        <v/>
      </c>
      <c r="V61" s="34" t="str">
        <f t="shared" si="19"/>
        <v/>
      </c>
      <c r="W61" s="34" t="str">
        <f t="shared" si="19"/>
        <v/>
      </c>
      <c r="X61" s="34" t="str">
        <f t="shared" si="19"/>
        <v/>
      </c>
      <c r="Y61" s="34" t="str">
        <f t="shared" ref="Y61:AF75" si="33">IF(AND(Type="M",Start=Date),"◆","")</f>
        <v/>
      </c>
      <c r="Z61" s="34" t="str">
        <f t="shared" si="33"/>
        <v/>
      </c>
      <c r="AA61" s="34" t="str">
        <f t="shared" si="15"/>
        <v/>
      </c>
      <c r="AB61" s="34" t="str">
        <f t="shared" si="15"/>
        <v/>
      </c>
      <c r="AC61" s="34" t="str">
        <f t="shared" si="15"/>
        <v/>
      </c>
      <c r="AD61" s="34" t="str">
        <f t="shared" si="15"/>
        <v/>
      </c>
      <c r="AE61" s="34" t="str">
        <f t="shared" si="15"/>
        <v/>
      </c>
      <c r="AF61" s="34" t="str">
        <f t="shared" si="33"/>
        <v/>
      </c>
      <c r="AG61" s="34" t="str">
        <f t="shared" ref="AG61:AN75" si="34">IF(AND(Type="M",Start=Date),"◆","")</f>
        <v/>
      </c>
      <c r="AH61" s="34" t="str">
        <f t="shared" si="18"/>
        <v/>
      </c>
      <c r="AI61" s="34" t="str">
        <f t="shared" si="18"/>
        <v/>
      </c>
      <c r="AJ61" s="34" t="str">
        <f t="shared" si="18"/>
        <v/>
      </c>
      <c r="AK61" s="34" t="str">
        <f t="shared" si="18"/>
        <v/>
      </c>
      <c r="AL61" s="34" t="str">
        <f t="shared" si="18"/>
        <v/>
      </c>
      <c r="AM61" s="34" t="str">
        <f t="shared" si="34"/>
        <v/>
      </c>
      <c r="AN61" s="34" t="str">
        <f t="shared" si="34"/>
        <v/>
      </c>
      <c r="AO61" s="34" t="str">
        <f t="shared" si="20"/>
        <v/>
      </c>
      <c r="AP61" s="34" t="str">
        <f t="shared" si="20"/>
        <v/>
      </c>
      <c r="AQ61" s="34" t="str">
        <f t="shared" si="20"/>
        <v/>
      </c>
      <c r="AR61" s="34" t="str">
        <f t="shared" si="20"/>
        <v/>
      </c>
      <c r="AS61" s="34" t="str">
        <f t="shared" si="20"/>
        <v/>
      </c>
      <c r="AT61" s="34" t="str">
        <f t="shared" ref="AT61:AU75" si="35">IF(AND(Type="M",Start=Date),"◆","")</f>
        <v/>
      </c>
      <c r="AU61" s="34" t="str">
        <f t="shared" si="35"/>
        <v/>
      </c>
      <c r="AV61" s="34" t="str">
        <f t="shared" si="21"/>
        <v/>
      </c>
      <c r="AW61" s="34" t="str">
        <f t="shared" si="21"/>
        <v/>
      </c>
      <c r="AX61" s="34" t="str">
        <f t="shared" si="21"/>
        <v/>
      </c>
      <c r="AY61" s="34" t="str">
        <f t="shared" si="21"/>
        <v/>
      </c>
      <c r="AZ61" s="34" t="str">
        <f t="shared" si="21"/>
        <v/>
      </c>
      <c r="BA61" s="34" t="str">
        <f t="shared" ref="BA61:BJ75" si="36">IF(AND(Type="M",Start=Date),"◆","")</f>
        <v/>
      </c>
      <c r="BB61" s="34" t="str">
        <f t="shared" si="36"/>
        <v/>
      </c>
      <c r="BC61" s="34" t="str">
        <f t="shared" si="17"/>
        <v/>
      </c>
      <c r="BD61" s="34" t="str">
        <f t="shared" si="17"/>
        <v/>
      </c>
      <c r="BE61" s="34" t="str">
        <f t="shared" si="17"/>
        <v/>
      </c>
      <c r="BF61" s="34" t="str">
        <f t="shared" si="17"/>
        <v/>
      </c>
      <c r="BG61" s="34" t="str">
        <f t="shared" si="17"/>
        <v/>
      </c>
      <c r="BH61" s="34" t="str">
        <f t="shared" si="36"/>
        <v/>
      </c>
      <c r="BI61" s="34" t="str">
        <f t="shared" si="36"/>
        <v/>
      </c>
      <c r="BJ61" s="34" t="str">
        <f t="shared" si="36"/>
        <v/>
      </c>
      <c r="BK61" s="34" t="str">
        <f t="shared" ref="BK61:BP75" si="37">IF(AND(Type="M",Start=Date),"◆","")</f>
        <v/>
      </c>
      <c r="BL61" s="34" t="str">
        <f t="shared" si="37"/>
        <v/>
      </c>
      <c r="BM61" s="34" t="str">
        <f t="shared" si="37"/>
        <v/>
      </c>
      <c r="BN61" s="34" t="str">
        <f t="shared" si="37"/>
        <v/>
      </c>
      <c r="BO61" s="34" t="str">
        <f t="shared" si="37"/>
        <v/>
      </c>
      <c r="BP61" s="34" t="str">
        <f t="shared" si="37"/>
        <v/>
      </c>
    </row>
    <row r="62" spans="2:68" outlineLevel="1" x14ac:dyDescent="0.25">
      <c r="B62" s="32">
        <f t="shared" si="22"/>
        <v>53</v>
      </c>
      <c r="C62" s="33" t="s">
        <v>5</v>
      </c>
      <c r="D62" s="34" t="s">
        <v>520</v>
      </c>
      <c r="E62" s="34"/>
      <c r="F62" s="40"/>
      <c r="G62" s="33">
        <v>1</v>
      </c>
      <c r="H62" s="35">
        <f>H61</f>
        <v>45994</v>
      </c>
      <c r="I62" s="35" cm="1">
        <f t="array" ref="I62">IF(G62&lt;&gt;"",WORKDAY(Start,Duration-1),IF(Type="M",WORKDAY(Start,Duration-1),""))</f>
        <v>45994</v>
      </c>
      <c r="J62" s="44"/>
      <c r="K62" s="47" t="s">
        <v>93</v>
      </c>
      <c r="L62" s="34"/>
      <c r="M62" s="36" t="str">
        <f t="shared" si="14"/>
        <v/>
      </c>
      <c r="N62" s="34" t="str">
        <f t="shared" si="14"/>
        <v/>
      </c>
      <c r="O62" s="34" t="str">
        <f t="shared" si="14"/>
        <v/>
      </c>
      <c r="P62" s="34" t="str">
        <f t="shared" si="14"/>
        <v/>
      </c>
      <c r="Q62" s="34" t="str">
        <f t="shared" si="14"/>
        <v/>
      </c>
      <c r="R62" s="34" t="str">
        <f t="shared" si="32"/>
        <v/>
      </c>
      <c r="S62" s="34" t="str">
        <f t="shared" si="32"/>
        <v/>
      </c>
      <c r="T62" s="34" t="str">
        <f t="shared" si="19"/>
        <v/>
      </c>
      <c r="U62" s="34" t="str">
        <f t="shared" si="19"/>
        <v/>
      </c>
      <c r="V62" s="34" t="str">
        <f t="shared" si="19"/>
        <v/>
      </c>
      <c r="W62" s="34" t="str">
        <f t="shared" si="19"/>
        <v/>
      </c>
      <c r="X62" s="34" t="str">
        <f t="shared" si="19"/>
        <v/>
      </c>
      <c r="Y62" s="34" t="str">
        <f t="shared" si="33"/>
        <v/>
      </c>
      <c r="Z62" s="34" t="str">
        <f t="shared" si="33"/>
        <v/>
      </c>
      <c r="AA62" s="34" t="str">
        <f t="shared" si="15"/>
        <v/>
      </c>
      <c r="AB62" s="34" t="str">
        <f t="shared" si="15"/>
        <v/>
      </c>
      <c r="AC62" s="34" t="str">
        <f t="shared" si="15"/>
        <v/>
      </c>
      <c r="AD62" s="34" t="str">
        <f t="shared" si="15"/>
        <v/>
      </c>
      <c r="AE62" s="34" t="str">
        <f t="shared" si="15"/>
        <v/>
      </c>
      <c r="AF62" s="34" t="str">
        <f t="shared" si="33"/>
        <v/>
      </c>
      <c r="AG62" s="34" t="str">
        <f t="shared" si="34"/>
        <v/>
      </c>
      <c r="AH62" s="34" t="str">
        <f t="shared" si="18"/>
        <v/>
      </c>
      <c r="AI62" s="34" t="str">
        <f t="shared" si="18"/>
        <v/>
      </c>
      <c r="AJ62" s="34" t="str">
        <f t="shared" si="18"/>
        <v/>
      </c>
      <c r="AK62" s="34" t="str">
        <f t="shared" si="18"/>
        <v/>
      </c>
      <c r="AL62" s="34" t="str">
        <f t="shared" si="18"/>
        <v/>
      </c>
      <c r="AM62" s="34" t="str">
        <f t="shared" si="34"/>
        <v/>
      </c>
      <c r="AN62" s="34" t="str">
        <f t="shared" si="34"/>
        <v/>
      </c>
      <c r="AO62" s="34" t="str">
        <f t="shared" si="20"/>
        <v/>
      </c>
      <c r="AP62" s="34" t="str">
        <f t="shared" si="20"/>
        <v/>
      </c>
      <c r="AQ62" s="34" t="str">
        <f t="shared" si="20"/>
        <v/>
      </c>
      <c r="AR62" s="34" t="str">
        <f t="shared" si="20"/>
        <v/>
      </c>
      <c r="AS62" s="34" t="str">
        <f t="shared" si="20"/>
        <v/>
      </c>
      <c r="AT62" s="34" t="str">
        <f t="shared" si="35"/>
        <v/>
      </c>
      <c r="AU62" s="34" t="str">
        <f t="shared" si="35"/>
        <v/>
      </c>
      <c r="AV62" s="34" t="str">
        <f t="shared" si="21"/>
        <v/>
      </c>
      <c r="AW62" s="34" t="str">
        <f t="shared" si="21"/>
        <v/>
      </c>
      <c r="AX62" s="34" t="str">
        <f t="shared" si="21"/>
        <v/>
      </c>
      <c r="AY62" s="34" t="str">
        <f t="shared" si="21"/>
        <v/>
      </c>
      <c r="AZ62" s="34" t="str">
        <f t="shared" si="21"/>
        <v/>
      </c>
      <c r="BA62" s="34" t="str">
        <f t="shared" si="36"/>
        <v/>
      </c>
      <c r="BB62" s="34" t="str">
        <f t="shared" si="36"/>
        <v/>
      </c>
      <c r="BC62" s="34" t="str">
        <f t="shared" si="17"/>
        <v/>
      </c>
      <c r="BD62" s="34" t="str">
        <f t="shared" si="17"/>
        <v/>
      </c>
      <c r="BE62" s="34" t="str">
        <f t="shared" si="17"/>
        <v/>
      </c>
      <c r="BF62" s="34" t="str">
        <f t="shared" si="17"/>
        <v/>
      </c>
      <c r="BG62" s="34" t="str">
        <f t="shared" si="17"/>
        <v/>
      </c>
      <c r="BH62" s="34" t="str">
        <f t="shared" si="36"/>
        <v/>
      </c>
      <c r="BI62" s="34" t="str">
        <f t="shared" si="36"/>
        <v/>
      </c>
      <c r="BJ62" s="34" t="str">
        <f t="shared" si="36"/>
        <v/>
      </c>
      <c r="BK62" s="34" t="str">
        <f t="shared" si="37"/>
        <v/>
      </c>
      <c r="BL62" s="34" t="str">
        <f t="shared" si="37"/>
        <v/>
      </c>
      <c r="BM62" s="34" t="str">
        <f t="shared" si="37"/>
        <v/>
      </c>
      <c r="BN62" s="34" t="str">
        <f t="shared" si="37"/>
        <v/>
      </c>
      <c r="BO62" s="34" t="str">
        <f t="shared" si="37"/>
        <v/>
      </c>
      <c r="BP62" s="34" t="str">
        <f t="shared" si="37"/>
        <v/>
      </c>
    </row>
    <row r="63" spans="2:68" outlineLevel="1" x14ac:dyDescent="0.25">
      <c r="B63" s="32">
        <f t="shared" si="22"/>
        <v>54</v>
      </c>
      <c r="C63" s="33" t="s">
        <v>5</v>
      </c>
      <c r="D63" s="34" t="s">
        <v>521</v>
      </c>
      <c r="E63" s="34"/>
      <c r="F63" s="40"/>
      <c r="G63" s="33">
        <v>1</v>
      </c>
      <c r="H63" s="35">
        <f t="shared" ref="H63:H71" si="38">IF(Type&lt;&gt;"M",WORKDAY(I62,1),I62)</f>
        <v>45995</v>
      </c>
      <c r="I63" s="35" cm="1">
        <f t="array" ref="I63">IF(G63&lt;&gt;"",WORKDAY(Start,Duration-1),IF(Type="M",WORKDAY(Start,Duration-1),""))</f>
        <v>45995</v>
      </c>
      <c r="J63" s="44"/>
      <c r="K63" s="47"/>
      <c r="L63" s="34" t="s">
        <v>522</v>
      </c>
      <c r="M63" s="36" t="str">
        <f t="shared" si="14"/>
        <v/>
      </c>
      <c r="N63" s="34" t="str">
        <f t="shared" si="14"/>
        <v/>
      </c>
      <c r="O63" s="34" t="str">
        <f t="shared" si="14"/>
        <v/>
      </c>
      <c r="P63" s="34" t="str">
        <f t="shared" si="14"/>
        <v/>
      </c>
      <c r="Q63" s="34" t="str">
        <f t="shared" si="14"/>
        <v/>
      </c>
      <c r="R63" s="34"/>
      <c r="S63" s="34"/>
      <c r="T63" s="34" t="str">
        <f t="shared" si="19"/>
        <v/>
      </c>
      <c r="U63" s="34" t="str">
        <f t="shared" si="19"/>
        <v/>
      </c>
      <c r="V63" s="34" t="str">
        <f t="shared" si="19"/>
        <v/>
      </c>
      <c r="W63" s="34" t="str">
        <f t="shared" si="19"/>
        <v/>
      </c>
      <c r="X63" s="34" t="str">
        <f t="shared" si="19"/>
        <v/>
      </c>
      <c r="Y63" s="34"/>
      <c r="Z63" s="34"/>
      <c r="AA63" s="34" t="str">
        <f t="shared" si="15"/>
        <v/>
      </c>
      <c r="AB63" s="34" t="str">
        <f t="shared" si="15"/>
        <v/>
      </c>
      <c r="AC63" s="34" t="str">
        <f t="shared" si="15"/>
        <v/>
      </c>
      <c r="AD63" s="34" t="str">
        <f t="shared" si="15"/>
        <v/>
      </c>
      <c r="AE63" s="34" t="str">
        <f t="shared" si="15"/>
        <v/>
      </c>
      <c r="AF63" s="34"/>
      <c r="AG63" s="34"/>
      <c r="AH63" s="34" t="str">
        <f t="shared" si="18"/>
        <v/>
      </c>
      <c r="AI63" s="34" t="str">
        <f t="shared" si="18"/>
        <v/>
      </c>
      <c r="AJ63" s="34" t="str">
        <f t="shared" si="18"/>
        <v/>
      </c>
      <c r="AK63" s="34" t="str">
        <f t="shared" si="18"/>
        <v/>
      </c>
      <c r="AL63" s="34" t="str">
        <f t="shared" si="18"/>
        <v/>
      </c>
      <c r="AM63" s="34"/>
      <c r="AN63" s="34"/>
      <c r="AO63" s="34" t="str">
        <f t="shared" si="20"/>
        <v/>
      </c>
      <c r="AP63" s="34" t="str">
        <f t="shared" si="20"/>
        <v/>
      </c>
      <c r="AQ63" s="34" t="str">
        <f t="shared" si="20"/>
        <v/>
      </c>
      <c r="AR63" s="34" t="str">
        <f t="shared" si="20"/>
        <v/>
      </c>
      <c r="AS63" s="34" t="str">
        <f t="shared" si="20"/>
        <v/>
      </c>
      <c r="AT63" s="34"/>
      <c r="AU63" s="34"/>
      <c r="AV63" s="34" t="str">
        <f t="shared" si="21"/>
        <v/>
      </c>
      <c r="AW63" s="34" t="str">
        <f t="shared" si="21"/>
        <v/>
      </c>
      <c r="AX63" s="34" t="str">
        <f t="shared" si="21"/>
        <v/>
      </c>
      <c r="AY63" s="34" t="str">
        <f t="shared" si="21"/>
        <v/>
      </c>
      <c r="AZ63" s="34" t="str">
        <f t="shared" si="21"/>
        <v/>
      </c>
      <c r="BA63" s="34"/>
      <c r="BB63" s="34"/>
      <c r="BC63" s="34" t="str">
        <f t="shared" si="17"/>
        <v/>
      </c>
      <c r="BD63" s="34" t="str">
        <f t="shared" si="17"/>
        <v/>
      </c>
      <c r="BE63" s="34" t="str">
        <f t="shared" si="17"/>
        <v/>
      </c>
      <c r="BF63" s="34" t="str">
        <f t="shared" si="17"/>
        <v/>
      </c>
      <c r="BG63" s="34" t="str">
        <f t="shared" si="17"/>
        <v/>
      </c>
      <c r="BH63" s="34"/>
      <c r="BI63" s="34"/>
      <c r="BJ63" s="34"/>
      <c r="BK63" s="34"/>
      <c r="BL63" s="34"/>
      <c r="BM63" s="34"/>
      <c r="BN63" s="34"/>
      <c r="BO63" s="34"/>
      <c r="BP63" s="34"/>
    </row>
    <row r="64" spans="2:68" outlineLevel="1" x14ac:dyDescent="0.25">
      <c r="B64" s="32">
        <f t="shared" si="22"/>
        <v>55</v>
      </c>
      <c r="C64" s="33" t="s">
        <v>5</v>
      </c>
      <c r="D64" s="34" t="s">
        <v>13</v>
      </c>
      <c r="E64" s="34"/>
      <c r="F64" s="40"/>
      <c r="G64" s="33">
        <v>5</v>
      </c>
      <c r="H64" s="35">
        <f t="shared" si="38"/>
        <v>45996</v>
      </c>
      <c r="I64" s="35" cm="1">
        <f t="array" ref="I64">IF(G64&lt;&gt;"",WORKDAY(Start,Duration-1),IF(Type="M",WORKDAY(Start,Duration-1),""))</f>
        <v>46002</v>
      </c>
      <c r="J64" s="44"/>
      <c r="K64" s="47" t="s">
        <v>93</v>
      </c>
      <c r="L64" s="34"/>
      <c r="M64" s="36" t="str">
        <f t="shared" si="14"/>
        <v/>
      </c>
      <c r="N64" s="34" t="str">
        <f t="shared" si="14"/>
        <v/>
      </c>
      <c r="O64" s="34" t="str">
        <f t="shared" si="14"/>
        <v/>
      </c>
      <c r="P64" s="34" t="str">
        <f t="shared" si="14"/>
        <v/>
      </c>
      <c r="Q64" s="34" t="str">
        <f t="shared" si="14"/>
        <v/>
      </c>
      <c r="R64" s="34"/>
      <c r="S64" s="34"/>
      <c r="T64" s="34" t="str">
        <f t="shared" si="19"/>
        <v/>
      </c>
      <c r="U64" s="34" t="str">
        <f t="shared" si="19"/>
        <v/>
      </c>
      <c r="V64" s="34" t="str">
        <f t="shared" si="19"/>
        <v/>
      </c>
      <c r="W64" s="34" t="str">
        <f t="shared" si="19"/>
        <v/>
      </c>
      <c r="X64" s="34" t="str">
        <f t="shared" si="19"/>
        <v/>
      </c>
      <c r="Y64" s="34"/>
      <c r="Z64" s="34"/>
      <c r="AA64" s="34" t="str">
        <f t="shared" si="15"/>
        <v/>
      </c>
      <c r="AB64" s="34" t="str">
        <f t="shared" si="15"/>
        <v/>
      </c>
      <c r="AC64" s="34" t="str">
        <f t="shared" si="15"/>
        <v/>
      </c>
      <c r="AD64" s="34" t="str">
        <f t="shared" si="15"/>
        <v/>
      </c>
      <c r="AE64" s="34" t="str">
        <f t="shared" si="15"/>
        <v/>
      </c>
      <c r="AF64" s="34"/>
      <c r="AG64" s="34"/>
      <c r="AH64" s="34" t="str">
        <f t="shared" si="18"/>
        <v/>
      </c>
      <c r="AI64" s="34" t="str">
        <f t="shared" si="18"/>
        <v/>
      </c>
      <c r="AJ64" s="34" t="str">
        <f t="shared" si="18"/>
        <v/>
      </c>
      <c r="AK64" s="34" t="str">
        <f t="shared" si="18"/>
        <v/>
      </c>
      <c r="AL64" s="34" t="str">
        <f t="shared" si="18"/>
        <v/>
      </c>
      <c r="AM64" s="34"/>
      <c r="AN64" s="34"/>
      <c r="AO64" s="34" t="str">
        <f t="shared" si="20"/>
        <v/>
      </c>
      <c r="AP64" s="34" t="str">
        <f t="shared" si="20"/>
        <v/>
      </c>
      <c r="AQ64" s="34" t="str">
        <f t="shared" si="20"/>
        <v/>
      </c>
      <c r="AR64" s="34" t="str">
        <f t="shared" si="20"/>
        <v/>
      </c>
      <c r="AS64" s="34" t="str">
        <f t="shared" si="20"/>
        <v/>
      </c>
      <c r="AT64" s="34"/>
      <c r="AU64" s="34"/>
      <c r="AV64" s="34" t="str">
        <f t="shared" si="21"/>
        <v/>
      </c>
      <c r="AW64" s="34" t="str">
        <f t="shared" si="21"/>
        <v/>
      </c>
      <c r="AX64" s="34" t="str">
        <f t="shared" si="21"/>
        <v/>
      </c>
      <c r="AY64" s="34" t="str">
        <f t="shared" si="21"/>
        <v/>
      </c>
      <c r="AZ64" s="34" t="str">
        <f t="shared" si="21"/>
        <v/>
      </c>
      <c r="BA64" s="34"/>
      <c r="BB64" s="34"/>
      <c r="BC64" s="34" t="str">
        <f t="shared" si="17"/>
        <v/>
      </c>
      <c r="BD64" s="34" t="str">
        <f t="shared" si="17"/>
        <v/>
      </c>
      <c r="BE64" s="34" t="str">
        <f t="shared" si="17"/>
        <v/>
      </c>
      <c r="BF64" s="34" t="str">
        <f t="shared" si="17"/>
        <v/>
      </c>
      <c r="BG64" s="34" t="str">
        <f t="shared" si="17"/>
        <v/>
      </c>
      <c r="BH64" s="34"/>
      <c r="BI64" s="34"/>
      <c r="BJ64" s="34"/>
      <c r="BK64" s="34"/>
      <c r="BL64" s="34"/>
      <c r="BM64" s="34"/>
      <c r="BN64" s="34"/>
      <c r="BO64" s="34"/>
      <c r="BP64" s="34"/>
    </row>
    <row r="65" spans="2:68" outlineLevel="1" x14ac:dyDescent="0.25">
      <c r="B65" s="32">
        <f t="shared" si="22"/>
        <v>56</v>
      </c>
      <c r="C65" s="33" t="s">
        <v>5</v>
      </c>
      <c r="D65" s="34" t="s">
        <v>14</v>
      </c>
      <c r="E65" s="34"/>
      <c r="F65" s="40"/>
      <c r="G65" s="33">
        <v>5</v>
      </c>
      <c r="H65" s="35">
        <f t="shared" si="38"/>
        <v>46003</v>
      </c>
      <c r="I65" s="35" cm="1">
        <f t="array" ref="I65">IF(G65&lt;&gt;"",WORKDAY(Start,Duration-1),IF(Type="M",WORKDAY(Start,Duration-1),""))</f>
        <v>46009</v>
      </c>
      <c r="J65" s="44"/>
      <c r="K65" s="47" t="s">
        <v>93</v>
      </c>
      <c r="L65" s="34"/>
      <c r="M65" s="36" t="str">
        <f t="shared" si="14"/>
        <v/>
      </c>
      <c r="N65" s="34" t="str">
        <f t="shared" si="14"/>
        <v/>
      </c>
      <c r="O65" s="34" t="str">
        <f t="shared" si="14"/>
        <v/>
      </c>
      <c r="P65" s="34" t="str">
        <f t="shared" si="14"/>
        <v/>
      </c>
      <c r="Q65" s="34" t="str">
        <f t="shared" si="14"/>
        <v/>
      </c>
      <c r="R65" s="34" t="str">
        <f t="shared" si="32"/>
        <v/>
      </c>
      <c r="S65" s="34" t="str">
        <f t="shared" si="32"/>
        <v/>
      </c>
      <c r="T65" s="34" t="str">
        <f t="shared" si="19"/>
        <v/>
      </c>
      <c r="U65" s="34" t="str">
        <f t="shared" si="19"/>
        <v/>
      </c>
      <c r="V65" s="34" t="str">
        <f t="shared" si="19"/>
        <v/>
      </c>
      <c r="W65" s="34" t="str">
        <f t="shared" si="19"/>
        <v/>
      </c>
      <c r="X65" s="34" t="str">
        <f t="shared" si="19"/>
        <v/>
      </c>
      <c r="Y65" s="34" t="str">
        <f t="shared" si="33"/>
        <v/>
      </c>
      <c r="Z65" s="34" t="str">
        <f t="shared" si="33"/>
        <v/>
      </c>
      <c r="AA65" s="34" t="str">
        <f t="shared" si="15"/>
        <v/>
      </c>
      <c r="AB65" s="34" t="str">
        <f t="shared" si="15"/>
        <v/>
      </c>
      <c r="AC65" s="34" t="str">
        <f t="shared" si="15"/>
        <v/>
      </c>
      <c r="AD65" s="34" t="str">
        <f t="shared" si="15"/>
        <v/>
      </c>
      <c r="AE65" s="34" t="str">
        <f t="shared" si="15"/>
        <v/>
      </c>
      <c r="AF65" s="34" t="str">
        <f t="shared" si="33"/>
        <v/>
      </c>
      <c r="AG65" s="34" t="str">
        <f t="shared" si="34"/>
        <v/>
      </c>
      <c r="AH65" s="34" t="str">
        <f t="shared" si="18"/>
        <v/>
      </c>
      <c r="AI65" s="34" t="str">
        <f t="shared" si="18"/>
        <v/>
      </c>
      <c r="AJ65" s="34" t="str">
        <f t="shared" si="18"/>
        <v/>
      </c>
      <c r="AK65" s="34" t="str">
        <f t="shared" si="18"/>
        <v/>
      </c>
      <c r="AL65" s="34" t="str">
        <f t="shared" si="18"/>
        <v/>
      </c>
      <c r="AM65" s="34" t="str">
        <f t="shared" si="34"/>
        <v/>
      </c>
      <c r="AN65" s="34" t="str">
        <f t="shared" si="34"/>
        <v/>
      </c>
      <c r="AO65" s="34" t="str">
        <f t="shared" si="20"/>
        <v/>
      </c>
      <c r="AP65" s="34" t="str">
        <f t="shared" si="20"/>
        <v/>
      </c>
      <c r="AQ65" s="34" t="str">
        <f t="shared" si="20"/>
        <v/>
      </c>
      <c r="AR65" s="34" t="str">
        <f t="shared" si="20"/>
        <v/>
      </c>
      <c r="AS65" s="34" t="str">
        <f t="shared" si="20"/>
        <v/>
      </c>
      <c r="AT65" s="34" t="str">
        <f t="shared" si="35"/>
        <v/>
      </c>
      <c r="AU65" s="34" t="str">
        <f t="shared" si="35"/>
        <v/>
      </c>
      <c r="AV65" s="34" t="str">
        <f t="shared" si="21"/>
        <v/>
      </c>
      <c r="AW65" s="34" t="str">
        <f t="shared" si="21"/>
        <v/>
      </c>
      <c r="AX65" s="34" t="str">
        <f t="shared" si="21"/>
        <v/>
      </c>
      <c r="AY65" s="34" t="str">
        <f t="shared" si="21"/>
        <v/>
      </c>
      <c r="AZ65" s="34" t="str">
        <f t="shared" si="21"/>
        <v/>
      </c>
      <c r="BA65" s="34" t="str">
        <f t="shared" si="36"/>
        <v/>
      </c>
      <c r="BB65" s="34" t="str">
        <f t="shared" si="36"/>
        <v/>
      </c>
      <c r="BC65" s="34" t="str">
        <f t="shared" si="17"/>
        <v/>
      </c>
      <c r="BD65" s="34" t="str">
        <f t="shared" si="17"/>
        <v/>
      </c>
      <c r="BE65" s="34" t="str">
        <f t="shared" si="17"/>
        <v/>
      </c>
      <c r="BF65" s="34" t="str">
        <f t="shared" si="17"/>
        <v/>
      </c>
      <c r="BG65" s="34" t="str">
        <f t="shared" si="17"/>
        <v/>
      </c>
      <c r="BH65" s="34" t="str">
        <f t="shared" si="36"/>
        <v/>
      </c>
      <c r="BI65" s="34" t="str">
        <f t="shared" si="36"/>
        <v/>
      </c>
      <c r="BJ65" s="34" t="str">
        <f t="shared" si="36"/>
        <v/>
      </c>
      <c r="BK65" s="34" t="str">
        <f t="shared" si="37"/>
        <v/>
      </c>
      <c r="BL65" s="34" t="str">
        <f t="shared" si="37"/>
        <v/>
      </c>
      <c r="BM65" s="34" t="str">
        <f t="shared" si="37"/>
        <v/>
      </c>
      <c r="BN65" s="34" t="str">
        <f t="shared" si="37"/>
        <v/>
      </c>
      <c r="BO65" s="34" t="str">
        <f t="shared" si="37"/>
        <v/>
      </c>
      <c r="BP65" s="34" t="str">
        <f t="shared" si="37"/>
        <v/>
      </c>
    </row>
    <row r="66" spans="2:68" outlineLevel="1" x14ac:dyDescent="0.25">
      <c r="B66" s="32">
        <f t="shared" si="22"/>
        <v>57</v>
      </c>
      <c r="C66" s="33" t="s">
        <v>5</v>
      </c>
      <c r="D66" s="34" t="s">
        <v>530</v>
      </c>
      <c r="E66" s="34"/>
      <c r="F66" s="40"/>
      <c r="G66" s="33">
        <v>5</v>
      </c>
      <c r="H66" s="35">
        <f t="shared" si="38"/>
        <v>46010</v>
      </c>
      <c r="I66" s="35" cm="1">
        <f t="array" ref="I66">IF(G66&lt;&gt;"",WORKDAY(Start,Duration-1),IF(Type="M",WORKDAY(Start,Duration-1),""))</f>
        <v>46016</v>
      </c>
      <c r="J66" s="44"/>
      <c r="K66" s="47" t="s">
        <v>93</v>
      </c>
      <c r="L66" s="34"/>
      <c r="M66" s="36" t="str">
        <f t="shared" si="14"/>
        <v/>
      </c>
      <c r="N66" s="34" t="str">
        <f t="shared" si="14"/>
        <v/>
      </c>
      <c r="O66" s="34" t="str">
        <f t="shared" si="14"/>
        <v/>
      </c>
      <c r="P66" s="34" t="str">
        <f t="shared" si="14"/>
        <v/>
      </c>
      <c r="Q66" s="34" t="str">
        <f t="shared" si="14"/>
        <v/>
      </c>
      <c r="R66" s="34" t="str">
        <f t="shared" si="32"/>
        <v/>
      </c>
      <c r="S66" s="34" t="str">
        <f t="shared" si="32"/>
        <v/>
      </c>
      <c r="T66" s="34" t="str">
        <f t="shared" si="19"/>
        <v/>
      </c>
      <c r="U66" s="34" t="str">
        <f t="shared" si="19"/>
        <v/>
      </c>
      <c r="V66" s="34" t="str">
        <f t="shared" si="19"/>
        <v/>
      </c>
      <c r="W66" s="34" t="str">
        <f t="shared" si="19"/>
        <v/>
      </c>
      <c r="X66" s="34" t="str">
        <f t="shared" si="19"/>
        <v/>
      </c>
      <c r="Y66" s="34" t="str">
        <f t="shared" si="33"/>
        <v/>
      </c>
      <c r="Z66" s="34" t="str">
        <f t="shared" si="33"/>
        <v/>
      </c>
      <c r="AA66" s="34" t="str">
        <f t="shared" si="15"/>
        <v/>
      </c>
      <c r="AB66" s="34" t="str">
        <f t="shared" si="15"/>
        <v/>
      </c>
      <c r="AC66" s="34" t="str">
        <f t="shared" si="15"/>
        <v/>
      </c>
      <c r="AD66" s="34" t="str">
        <f t="shared" si="15"/>
        <v/>
      </c>
      <c r="AE66" s="34" t="str">
        <f t="shared" si="15"/>
        <v/>
      </c>
      <c r="AF66" s="34" t="str">
        <f t="shared" si="33"/>
        <v/>
      </c>
      <c r="AG66" s="34" t="str">
        <f t="shared" si="34"/>
        <v/>
      </c>
      <c r="AH66" s="34" t="str">
        <f t="shared" si="18"/>
        <v/>
      </c>
      <c r="AI66" s="34" t="str">
        <f t="shared" si="18"/>
        <v/>
      </c>
      <c r="AJ66" s="34" t="str">
        <f t="shared" si="18"/>
        <v/>
      </c>
      <c r="AK66" s="34" t="str">
        <f t="shared" si="18"/>
        <v/>
      </c>
      <c r="AL66" s="34" t="str">
        <f t="shared" si="18"/>
        <v/>
      </c>
      <c r="AM66" s="34" t="str">
        <f t="shared" si="34"/>
        <v/>
      </c>
      <c r="AN66" s="34" t="str">
        <f t="shared" si="34"/>
        <v/>
      </c>
      <c r="AO66" s="34" t="str">
        <f t="shared" si="20"/>
        <v/>
      </c>
      <c r="AP66" s="34" t="str">
        <f t="shared" si="20"/>
        <v/>
      </c>
      <c r="AQ66" s="34" t="str">
        <f t="shared" si="20"/>
        <v/>
      </c>
      <c r="AR66" s="34" t="str">
        <f t="shared" si="20"/>
        <v/>
      </c>
      <c r="AS66" s="34" t="str">
        <f t="shared" si="20"/>
        <v/>
      </c>
      <c r="AT66" s="34" t="str">
        <f t="shared" si="35"/>
        <v/>
      </c>
      <c r="AU66" s="34" t="str">
        <f t="shared" si="35"/>
        <v/>
      </c>
      <c r="AV66" s="34" t="str">
        <f t="shared" si="21"/>
        <v/>
      </c>
      <c r="AW66" s="34" t="str">
        <f t="shared" si="21"/>
        <v/>
      </c>
      <c r="AX66" s="34" t="str">
        <f t="shared" si="21"/>
        <v/>
      </c>
      <c r="AY66" s="34" t="str">
        <f t="shared" si="21"/>
        <v/>
      </c>
      <c r="AZ66" s="34" t="str">
        <f t="shared" si="21"/>
        <v/>
      </c>
      <c r="BA66" s="34" t="str">
        <f t="shared" si="36"/>
        <v/>
      </c>
      <c r="BB66" s="34" t="str">
        <f t="shared" si="36"/>
        <v/>
      </c>
      <c r="BC66" s="34" t="str">
        <f t="shared" si="17"/>
        <v/>
      </c>
      <c r="BD66" s="34" t="str">
        <f t="shared" si="17"/>
        <v/>
      </c>
      <c r="BE66" s="34" t="str">
        <f t="shared" si="17"/>
        <v/>
      </c>
      <c r="BF66" s="34" t="str">
        <f t="shared" si="17"/>
        <v/>
      </c>
      <c r="BG66" s="34" t="str">
        <f t="shared" si="17"/>
        <v/>
      </c>
      <c r="BH66" s="34" t="str">
        <f t="shared" si="36"/>
        <v/>
      </c>
      <c r="BI66" s="34" t="str">
        <f t="shared" si="36"/>
        <v/>
      </c>
      <c r="BJ66" s="34" t="str">
        <f t="shared" si="36"/>
        <v/>
      </c>
      <c r="BK66" s="34" t="str">
        <f t="shared" si="37"/>
        <v/>
      </c>
      <c r="BL66" s="34" t="str">
        <f t="shared" si="37"/>
        <v/>
      </c>
      <c r="BM66" s="34" t="str">
        <f t="shared" si="37"/>
        <v/>
      </c>
      <c r="BN66" s="34" t="str">
        <f t="shared" si="37"/>
        <v/>
      </c>
      <c r="BO66" s="34" t="str">
        <f t="shared" si="37"/>
        <v/>
      </c>
      <c r="BP66" s="34" t="str">
        <f t="shared" si="37"/>
        <v/>
      </c>
    </row>
    <row r="67" spans="2:68" outlineLevel="1" x14ac:dyDescent="0.25">
      <c r="B67" s="32">
        <f t="shared" si="22"/>
        <v>58</v>
      </c>
      <c r="C67" s="33" t="s">
        <v>5</v>
      </c>
      <c r="D67" s="34" t="s">
        <v>531</v>
      </c>
      <c r="E67" s="34"/>
      <c r="F67" s="40"/>
      <c r="G67" s="33">
        <v>2</v>
      </c>
      <c r="H67" s="35">
        <f t="shared" si="38"/>
        <v>46017</v>
      </c>
      <c r="I67" s="35" cm="1">
        <f t="array" ref="I67">IF(G67&lt;&gt;"",WORKDAY(Start,Duration-1),IF(Type="M",WORKDAY(Start,Duration-1),""))</f>
        <v>46020</v>
      </c>
      <c r="J67" s="44"/>
      <c r="K67" s="47" t="s">
        <v>93</v>
      </c>
      <c r="L67" s="34" t="s">
        <v>423</v>
      </c>
      <c r="M67" s="36" t="str">
        <f t="shared" si="14"/>
        <v/>
      </c>
      <c r="N67" s="34" t="str">
        <f t="shared" si="14"/>
        <v/>
      </c>
      <c r="O67" s="34" t="str">
        <f t="shared" si="14"/>
        <v/>
      </c>
      <c r="P67" s="34" t="str">
        <f t="shared" si="14"/>
        <v/>
      </c>
      <c r="Q67" s="34" t="str">
        <f t="shared" si="14"/>
        <v/>
      </c>
      <c r="R67" s="34" t="str">
        <f t="shared" si="32"/>
        <v/>
      </c>
      <c r="S67" s="34" t="str">
        <f t="shared" si="32"/>
        <v/>
      </c>
      <c r="T67" s="34" t="str">
        <f t="shared" si="19"/>
        <v/>
      </c>
      <c r="U67" s="34" t="str">
        <f t="shared" si="19"/>
        <v/>
      </c>
      <c r="V67" s="34" t="str">
        <f t="shared" si="19"/>
        <v/>
      </c>
      <c r="W67" s="34" t="str">
        <f t="shared" si="19"/>
        <v/>
      </c>
      <c r="X67" s="34" t="str">
        <f t="shared" si="19"/>
        <v/>
      </c>
      <c r="Y67" s="34" t="str">
        <f t="shared" si="33"/>
        <v/>
      </c>
      <c r="Z67" s="34" t="str">
        <f t="shared" si="33"/>
        <v/>
      </c>
      <c r="AA67" s="34" t="str">
        <f t="shared" si="15"/>
        <v/>
      </c>
      <c r="AB67" s="34" t="str">
        <f t="shared" si="15"/>
        <v/>
      </c>
      <c r="AC67" s="34" t="str">
        <f t="shared" si="15"/>
        <v/>
      </c>
      <c r="AD67" s="34" t="str">
        <f t="shared" si="15"/>
        <v/>
      </c>
      <c r="AE67" s="34" t="str">
        <f t="shared" si="15"/>
        <v/>
      </c>
      <c r="AF67" s="34" t="str">
        <f t="shared" si="33"/>
        <v/>
      </c>
      <c r="AG67" s="34" t="str">
        <f t="shared" si="34"/>
        <v/>
      </c>
      <c r="AH67" s="34" t="str">
        <f t="shared" si="18"/>
        <v/>
      </c>
      <c r="AI67" s="34" t="str">
        <f t="shared" si="18"/>
        <v/>
      </c>
      <c r="AJ67" s="34" t="str">
        <f t="shared" si="18"/>
        <v/>
      </c>
      <c r="AK67" s="34" t="str">
        <f t="shared" si="18"/>
        <v/>
      </c>
      <c r="AL67" s="34" t="str">
        <f t="shared" si="18"/>
        <v/>
      </c>
      <c r="AM67" s="34" t="str">
        <f t="shared" si="34"/>
        <v/>
      </c>
      <c r="AN67" s="34" t="str">
        <f t="shared" si="34"/>
        <v/>
      </c>
      <c r="AO67" s="34" t="str">
        <f t="shared" si="20"/>
        <v/>
      </c>
      <c r="AP67" s="34" t="str">
        <f t="shared" si="20"/>
        <v/>
      </c>
      <c r="AQ67" s="34" t="str">
        <f t="shared" si="20"/>
        <v/>
      </c>
      <c r="AR67" s="34" t="str">
        <f t="shared" si="20"/>
        <v/>
      </c>
      <c r="AS67" s="34" t="str">
        <f t="shared" si="20"/>
        <v/>
      </c>
      <c r="AT67" s="34" t="str">
        <f t="shared" si="35"/>
        <v/>
      </c>
      <c r="AU67" s="34" t="str">
        <f t="shared" si="35"/>
        <v/>
      </c>
      <c r="AV67" s="34" t="str">
        <f t="shared" si="21"/>
        <v/>
      </c>
      <c r="AW67" s="34" t="str">
        <f t="shared" si="21"/>
        <v/>
      </c>
      <c r="AX67" s="34" t="str">
        <f t="shared" si="21"/>
        <v/>
      </c>
      <c r="AY67" s="34" t="str">
        <f t="shared" si="21"/>
        <v/>
      </c>
      <c r="AZ67" s="34" t="str">
        <f t="shared" si="21"/>
        <v/>
      </c>
      <c r="BA67" s="34" t="str">
        <f t="shared" si="36"/>
        <v/>
      </c>
      <c r="BB67" s="34" t="str">
        <f t="shared" si="36"/>
        <v/>
      </c>
      <c r="BC67" s="34" t="str">
        <f t="shared" si="17"/>
        <v/>
      </c>
      <c r="BD67" s="34" t="str">
        <f t="shared" si="17"/>
        <v/>
      </c>
      <c r="BE67" s="34" t="str">
        <f t="shared" si="17"/>
        <v/>
      </c>
      <c r="BF67" s="34" t="str">
        <f t="shared" si="17"/>
        <v/>
      </c>
      <c r="BG67" s="34" t="str">
        <f t="shared" si="17"/>
        <v/>
      </c>
      <c r="BH67" s="34" t="str">
        <f t="shared" si="36"/>
        <v/>
      </c>
      <c r="BI67" s="34" t="str">
        <f t="shared" si="36"/>
        <v/>
      </c>
      <c r="BJ67" s="34" t="str">
        <f t="shared" si="36"/>
        <v/>
      </c>
      <c r="BK67" s="34" t="str">
        <f t="shared" si="37"/>
        <v/>
      </c>
      <c r="BL67" s="34" t="str">
        <f t="shared" si="37"/>
        <v/>
      </c>
      <c r="BM67" s="34" t="str">
        <f t="shared" si="37"/>
        <v/>
      </c>
      <c r="BN67" s="34" t="str">
        <f t="shared" si="37"/>
        <v/>
      </c>
      <c r="BO67" s="34" t="str">
        <f t="shared" si="37"/>
        <v/>
      </c>
      <c r="BP67" s="34" t="str">
        <f t="shared" si="37"/>
        <v/>
      </c>
    </row>
    <row r="68" spans="2:68" outlineLevel="1" x14ac:dyDescent="0.25">
      <c r="B68" s="32">
        <f t="shared" si="22"/>
        <v>59</v>
      </c>
      <c r="C68" s="33" t="s">
        <v>5</v>
      </c>
      <c r="D68" s="34" t="s">
        <v>425</v>
      </c>
      <c r="E68" s="34"/>
      <c r="F68" s="40"/>
      <c r="G68" s="33">
        <v>5</v>
      </c>
      <c r="H68" s="35">
        <f t="shared" si="38"/>
        <v>46021</v>
      </c>
      <c r="I68" s="35" cm="1">
        <f t="array" ref="I68">IF(G68&lt;&gt;"",WORKDAY(Start,Duration-1),IF(Type="M",WORKDAY(Start,Duration-1),""))</f>
        <v>46027</v>
      </c>
      <c r="J68" s="44"/>
      <c r="K68" s="47" t="s">
        <v>94</v>
      </c>
      <c r="L68" s="34" t="s">
        <v>81</v>
      </c>
      <c r="M68" s="36" t="str">
        <f t="shared" si="14"/>
        <v/>
      </c>
      <c r="N68" s="34" t="str">
        <f t="shared" si="14"/>
        <v/>
      </c>
      <c r="O68" s="34" t="str">
        <f t="shared" si="14"/>
        <v/>
      </c>
      <c r="P68" s="34" t="str">
        <f t="shared" si="14"/>
        <v/>
      </c>
      <c r="Q68" s="34" t="str">
        <f t="shared" si="14"/>
        <v/>
      </c>
      <c r="R68" s="34"/>
      <c r="S68" s="34"/>
      <c r="T68" s="34" t="str">
        <f t="shared" si="19"/>
        <v/>
      </c>
      <c r="U68" s="34" t="str">
        <f t="shared" si="19"/>
        <v/>
      </c>
      <c r="V68" s="34" t="str">
        <f t="shared" si="19"/>
        <v/>
      </c>
      <c r="W68" s="34" t="str">
        <f t="shared" si="19"/>
        <v/>
      </c>
      <c r="X68" s="34" t="str">
        <f t="shared" si="19"/>
        <v/>
      </c>
      <c r="Y68" s="34"/>
      <c r="Z68" s="34"/>
      <c r="AA68" s="34" t="str">
        <f t="shared" si="15"/>
        <v/>
      </c>
      <c r="AB68" s="34" t="str">
        <f t="shared" si="15"/>
        <v/>
      </c>
      <c r="AC68" s="34" t="str">
        <f t="shared" si="15"/>
        <v/>
      </c>
      <c r="AD68" s="34" t="str">
        <f t="shared" si="15"/>
        <v/>
      </c>
      <c r="AE68" s="34" t="str">
        <f t="shared" si="15"/>
        <v/>
      </c>
      <c r="AF68" s="34"/>
      <c r="AG68" s="34"/>
      <c r="AH68" s="34" t="str">
        <f t="shared" si="18"/>
        <v/>
      </c>
      <c r="AI68" s="34" t="str">
        <f t="shared" si="18"/>
        <v/>
      </c>
      <c r="AJ68" s="34" t="str">
        <f t="shared" si="18"/>
        <v/>
      </c>
      <c r="AK68" s="34" t="str">
        <f t="shared" si="18"/>
        <v/>
      </c>
      <c r="AL68" s="34" t="str">
        <f t="shared" si="18"/>
        <v/>
      </c>
      <c r="AM68" s="34"/>
      <c r="AN68" s="34"/>
      <c r="AO68" s="34" t="str">
        <f t="shared" si="20"/>
        <v/>
      </c>
      <c r="AP68" s="34" t="str">
        <f t="shared" si="20"/>
        <v/>
      </c>
      <c r="AQ68" s="34" t="str">
        <f t="shared" si="20"/>
        <v/>
      </c>
      <c r="AR68" s="34" t="str">
        <f t="shared" si="20"/>
        <v/>
      </c>
      <c r="AS68" s="34" t="str">
        <f t="shared" si="20"/>
        <v/>
      </c>
      <c r="AT68" s="34"/>
      <c r="AU68" s="34"/>
      <c r="AV68" s="34" t="str">
        <f t="shared" si="21"/>
        <v/>
      </c>
      <c r="AW68" s="34" t="str">
        <f t="shared" si="21"/>
        <v/>
      </c>
      <c r="AX68" s="34" t="str">
        <f t="shared" si="21"/>
        <v/>
      </c>
      <c r="AY68" s="34" t="str">
        <f t="shared" si="21"/>
        <v/>
      </c>
      <c r="AZ68" s="34" t="str">
        <f t="shared" si="21"/>
        <v/>
      </c>
      <c r="BA68" s="34"/>
      <c r="BB68" s="34"/>
      <c r="BC68" s="34" t="str">
        <f t="shared" si="17"/>
        <v/>
      </c>
      <c r="BD68" s="34" t="str">
        <f t="shared" si="17"/>
        <v/>
      </c>
      <c r="BE68" s="34" t="str">
        <f t="shared" si="17"/>
        <v/>
      </c>
      <c r="BF68" s="34" t="str">
        <f t="shared" si="17"/>
        <v/>
      </c>
      <c r="BG68" s="34" t="str">
        <f t="shared" si="17"/>
        <v/>
      </c>
      <c r="BH68" s="34"/>
      <c r="BI68" s="34"/>
      <c r="BJ68" s="34"/>
      <c r="BK68" s="34"/>
      <c r="BL68" s="34"/>
      <c r="BM68" s="34"/>
      <c r="BN68" s="34"/>
      <c r="BO68" s="34"/>
      <c r="BP68" s="34"/>
    </row>
    <row r="69" spans="2:68" outlineLevel="1" x14ac:dyDescent="0.25">
      <c r="B69" s="32">
        <f t="shared" si="22"/>
        <v>60</v>
      </c>
      <c r="C69" s="33" t="s">
        <v>5</v>
      </c>
      <c r="D69" s="34" t="s">
        <v>682</v>
      </c>
      <c r="E69" s="34"/>
      <c r="F69" s="40"/>
      <c r="G69" s="33">
        <v>2</v>
      </c>
      <c r="H69" s="35">
        <f t="shared" si="38"/>
        <v>46028</v>
      </c>
      <c r="I69" s="35" cm="1">
        <f t="array" ref="I69">IF(G69&lt;&gt;"",WORKDAY(Start,Duration-1),IF(Type="M",WORKDAY(Start,Duration-1),""))</f>
        <v>46029</v>
      </c>
      <c r="J69" s="44"/>
      <c r="K69" s="47" t="s">
        <v>94</v>
      </c>
      <c r="L69" s="34"/>
      <c r="M69" s="36" t="str">
        <f t="shared" si="14"/>
        <v/>
      </c>
      <c r="N69" s="34" t="str">
        <f t="shared" si="14"/>
        <v/>
      </c>
      <c r="O69" s="34" t="str">
        <f t="shared" si="14"/>
        <v/>
      </c>
      <c r="P69" s="34" t="str">
        <f t="shared" si="14"/>
        <v/>
      </c>
      <c r="Q69" s="34" t="str">
        <f t="shared" si="14"/>
        <v/>
      </c>
      <c r="R69" s="34"/>
      <c r="S69" s="34"/>
      <c r="T69" s="34" t="str">
        <f t="shared" si="19"/>
        <v/>
      </c>
      <c r="U69" s="34" t="str">
        <f t="shared" si="19"/>
        <v/>
      </c>
      <c r="V69" s="34" t="str">
        <f t="shared" si="19"/>
        <v/>
      </c>
      <c r="W69" s="34" t="str">
        <f t="shared" si="19"/>
        <v/>
      </c>
      <c r="X69" s="34" t="str">
        <f t="shared" si="19"/>
        <v/>
      </c>
      <c r="Y69" s="34"/>
      <c r="Z69" s="34"/>
      <c r="AA69" s="34" t="str">
        <f t="shared" si="15"/>
        <v/>
      </c>
      <c r="AB69" s="34" t="str">
        <f t="shared" si="15"/>
        <v/>
      </c>
      <c r="AC69" s="34" t="str">
        <f t="shared" si="15"/>
        <v/>
      </c>
      <c r="AD69" s="34" t="str">
        <f t="shared" si="15"/>
        <v/>
      </c>
      <c r="AE69" s="34" t="str">
        <f t="shared" si="15"/>
        <v/>
      </c>
      <c r="AF69" s="34"/>
      <c r="AG69" s="34"/>
      <c r="AH69" s="34" t="str">
        <f t="shared" si="18"/>
        <v/>
      </c>
      <c r="AI69" s="34" t="str">
        <f t="shared" si="18"/>
        <v/>
      </c>
      <c r="AJ69" s="34" t="str">
        <f t="shared" si="18"/>
        <v/>
      </c>
      <c r="AK69" s="34" t="str">
        <f t="shared" si="18"/>
        <v/>
      </c>
      <c r="AL69" s="34" t="str">
        <f t="shared" si="18"/>
        <v/>
      </c>
      <c r="AM69" s="34"/>
      <c r="AN69" s="34"/>
      <c r="AO69" s="34" t="str">
        <f t="shared" si="20"/>
        <v/>
      </c>
      <c r="AP69" s="34" t="str">
        <f t="shared" si="20"/>
        <v/>
      </c>
      <c r="AQ69" s="34" t="str">
        <f t="shared" si="20"/>
        <v/>
      </c>
      <c r="AR69" s="34" t="str">
        <f t="shared" si="20"/>
        <v/>
      </c>
      <c r="AS69" s="34" t="str">
        <f t="shared" si="20"/>
        <v/>
      </c>
      <c r="AT69" s="34"/>
      <c r="AU69" s="34"/>
      <c r="AV69" s="34" t="str">
        <f t="shared" si="21"/>
        <v/>
      </c>
      <c r="AW69" s="34" t="str">
        <f t="shared" si="21"/>
        <v/>
      </c>
      <c r="AX69" s="34" t="str">
        <f t="shared" si="21"/>
        <v/>
      </c>
      <c r="AY69" s="34" t="str">
        <f t="shared" si="21"/>
        <v/>
      </c>
      <c r="AZ69" s="34" t="str">
        <f t="shared" si="21"/>
        <v/>
      </c>
      <c r="BA69" s="34"/>
      <c r="BB69" s="34"/>
      <c r="BC69" s="34" t="str">
        <f t="shared" si="17"/>
        <v/>
      </c>
      <c r="BD69" s="34" t="str">
        <f t="shared" si="17"/>
        <v/>
      </c>
      <c r="BE69" s="34" t="str">
        <f t="shared" si="17"/>
        <v/>
      </c>
      <c r="BF69" s="34" t="str">
        <f t="shared" si="17"/>
        <v/>
      </c>
      <c r="BG69" s="34" t="str">
        <f t="shared" si="17"/>
        <v/>
      </c>
      <c r="BH69" s="34"/>
      <c r="BI69" s="34"/>
      <c r="BJ69" s="34"/>
      <c r="BK69" s="34"/>
      <c r="BL69" s="34"/>
      <c r="BM69" s="34"/>
      <c r="BN69" s="34"/>
      <c r="BO69" s="34"/>
      <c r="BP69" s="34"/>
    </row>
    <row r="70" spans="2:68" outlineLevel="1" x14ac:dyDescent="0.25">
      <c r="B70" s="32">
        <f t="shared" si="22"/>
        <v>61</v>
      </c>
      <c r="C70" s="33" t="s">
        <v>5</v>
      </c>
      <c r="D70" s="34" t="s">
        <v>440</v>
      </c>
      <c r="E70" s="34"/>
      <c r="F70" s="40"/>
      <c r="G70" s="33">
        <v>5</v>
      </c>
      <c r="H70" s="35">
        <f t="shared" si="38"/>
        <v>46030</v>
      </c>
      <c r="I70" s="35" cm="1">
        <f t="array" ref="I70">IF(G70&lt;&gt;"",WORKDAY(Start,Duration-1),IF(Type="M",WORKDAY(Start,Duration-1),""))</f>
        <v>46036</v>
      </c>
      <c r="J70" s="44"/>
      <c r="K70" s="47" t="s">
        <v>95</v>
      </c>
      <c r="L70" s="34" t="s">
        <v>416</v>
      </c>
      <c r="M70" s="36" t="str">
        <f t="shared" si="14"/>
        <v/>
      </c>
      <c r="N70" s="34" t="str">
        <f t="shared" si="14"/>
        <v/>
      </c>
      <c r="O70" s="34" t="str">
        <f t="shared" si="14"/>
        <v/>
      </c>
      <c r="P70" s="34" t="str">
        <f t="shared" si="14"/>
        <v/>
      </c>
      <c r="Q70" s="34" t="str">
        <f t="shared" si="14"/>
        <v/>
      </c>
      <c r="R70" s="34"/>
      <c r="S70" s="34"/>
      <c r="T70" s="34" t="str">
        <f t="shared" si="19"/>
        <v/>
      </c>
      <c r="U70" s="34" t="str">
        <f t="shared" si="19"/>
        <v/>
      </c>
      <c r="V70" s="34" t="str">
        <f t="shared" si="19"/>
        <v/>
      </c>
      <c r="W70" s="34" t="str">
        <f t="shared" si="19"/>
        <v/>
      </c>
      <c r="X70" s="34" t="str">
        <f t="shared" si="19"/>
        <v/>
      </c>
      <c r="Y70" s="34"/>
      <c r="Z70" s="34"/>
      <c r="AA70" s="34" t="str">
        <f t="shared" si="15"/>
        <v/>
      </c>
      <c r="AB70" s="34" t="str">
        <f t="shared" si="15"/>
        <v/>
      </c>
      <c r="AC70" s="34" t="str">
        <f t="shared" si="15"/>
        <v/>
      </c>
      <c r="AD70" s="34" t="str">
        <f t="shared" si="15"/>
        <v/>
      </c>
      <c r="AE70" s="34" t="str">
        <f t="shared" si="15"/>
        <v/>
      </c>
      <c r="AF70" s="34"/>
      <c r="AG70" s="34"/>
      <c r="AH70" s="34" t="str">
        <f t="shared" si="18"/>
        <v/>
      </c>
      <c r="AI70" s="34" t="str">
        <f t="shared" si="18"/>
        <v/>
      </c>
      <c r="AJ70" s="34" t="str">
        <f t="shared" si="18"/>
        <v/>
      </c>
      <c r="AK70" s="34" t="str">
        <f t="shared" si="18"/>
        <v/>
      </c>
      <c r="AL70" s="34" t="str">
        <f t="shared" si="18"/>
        <v/>
      </c>
      <c r="AM70" s="34"/>
      <c r="AN70" s="34"/>
      <c r="AO70" s="34" t="str">
        <f t="shared" si="20"/>
        <v/>
      </c>
      <c r="AP70" s="34" t="str">
        <f t="shared" si="20"/>
        <v/>
      </c>
      <c r="AQ70" s="34" t="str">
        <f t="shared" si="20"/>
        <v/>
      </c>
      <c r="AR70" s="34" t="str">
        <f t="shared" si="20"/>
        <v/>
      </c>
      <c r="AS70" s="34" t="str">
        <f t="shared" si="20"/>
        <v/>
      </c>
      <c r="AT70" s="34"/>
      <c r="AU70" s="34"/>
      <c r="AV70" s="34" t="str">
        <f t="shared" si="21"/>
        <v/>
      </c>
      <c r="AW70" s="34" t="str">
        <f t="shared" si="21"/>
        <v/>
      </c>
      <c r="AX70" s="34" t="str">
        <f t="shared" si="21"/>
        <v/>
      </c>
      <c r="AY70" s="34" t="str">
        <f t="shared" si="21"/>
        <v/>
      </c>
      <c r="AZ70" s="34" t="str">
        <f t="shared" si="21"/>
        <v/>
      </c>
      <c r="BA70" s="34"/>
      <c r="BB70" s="34"/>
      <c r="BC70" s="34" t="str">
        <f t="shared" si="17"/>
        <v/>
      </c>
      <c r="BD70" s="34" t="str">
        <f t="shared" si="17"/>
        <v/>
      </c>
      <c r="BE70" s="34" t="str">
        <f t="shared" si="17"/>
        <v/>
      </c>
      <c r="BF70" s="34" t="str">
        <f t="shared" si="17"/>
        <v/>
      </c>
      <c r="BG70" s="34" t="str">
        <f t="shared" si="17"/>
        <v/>
      </c>
      <c r="BH70" s="34"/>
      <c r="BI70" s="34"/>
      <c r="BJ70" s="34"/>
      <c r="BK70" s="34"/>
      <c r="BL70" s="34"/>
      <c r="BM70" s="34"/>
      <c r="BN70" s="34"/>
      <c r="BO70" s="34"/>
      <c r="BP70" s="34"/>
    </row>
    <row r="71" spans="2:68" outlineLevel="1" x14ac:dyDescent="0.25">
      <c r="B71" s="32">
        <f t="shared" si="22"/>
        <v>62</v>
      </c>
      <c r="C71" s="33" t="s">
        <v>5</v>
      </c>
      <c r="D71" s="34" t="s">
        <v>681</v>
      </c>
      <c r="E71" s="34"/>
      <c r="F71" s="40"/>
      <c r="G71" s="33">
        <v>1</v>
      </c>
      <c r="H71" s="35">
        <f t="shared" si="38"/>
        <v>46037</v>
      </c>
      <c r="I71" s="35" cm="1">
        <f t="array" ref="I71">IF(G71&lt;&gt;"",WORKDAY(Start,Duration-1),IF(Type="M",WORKDAY(Start,Duration-1),""))</f>
        <v>46037</v>
      </c>
      <c r="J71" s="44"/>
      <c r="K71" s="47" t="s">
        <v>95</v>
      </c>
      <c r="L71" s="34"/>
      <c r="M71" s="36" t="str">
        <f t="shared" ref="M71:Q105" si="39">IF(AND(Type="M",Start=Date),"◆","")</f>
        <v/>
      </c>
      <c r="N71" s="34" t="str">
        <f t="shared" si="39"/>
        <v/>
      </c>
      <c r="O71" s="34" t="str">
        <f t="shared" si="39"/>
        <v/>
      </c>
      <c r="P71" s="34" t="str">
        <f t="shared" si="39"/>
        <v/>
      </c>
      <c r="Q71" s="34" t="str">
        <f t="shared" si="39"/>
        <v/>
      </c>
      <c r="R71" s="34"/>
      <c r="S71" s="34"/>
      <c r="T71" s="34" t="str">
        <f t="shared" si="19"/>
        <v/>
      </c>
      <c r="U71" s="34" t="str">
        <f t="shared" si="19"/>
        <v/>
      </c>
      <c r="V71" s="34" t="str">
        <f t="shared" si="19"/>
        <v/>
      </c>
      <c r="W71" s="34" t="str">
        <f t="shared" si="19"/>
        <v/>
      </c>
      <c r="X71" s="34" t="str">
        <f t="shared" si="19"/>
        <v/>
      </c>
      <c r="Y71" s="34"/>
      <c r="Z71" s="34"/>
      <c r="AA71" s="34" t="str">
        <f t="shared" si="15"/>
        <v/>
      </c>
      <c r="AB71" s="34" t="str">
        <f t="shared" si="15"/>
        <v/>
      </c>
      <c r="AC71" s="34" t="str">
        <f t="shared" si="15"/>
        <v/>
      </c>
      <c r="AD71" s="34" t="str">
        <f t="shared" si="15"/>
        <v/>
      </c>
      <c r="AE71" s="34" t="str">
        <f t="shared" si="15"/>
        <v/>
      </c>
      <c r="AF71" s="34"/>
      <c r="AG71" s="34"/>
      <c r="AH71" s="34" t="str">
        <f t="shared" si="18"/>
        <v/>
      </c>
      <c r="AI71" s="34" t="str">
        <f t="shared" si="18"/>
        <v/>
      </c>
      <c r="AJ71" s="34" t="str">
        <f t="shared" si="18"/>
        <v/>
      </c>
      <c r="AK71" s="34" t="str">
        <f t="shared" si="18"/>
        <v/>
      </c>
      <c r="AL71" s="34" t="str">
        <f t="shared" si="18"/>
        <v/>
      </c>
      <c r="AM71" s="34"/>
      <c r="AN71" s="34"/>
      <c r="AO71" s="34" t="str">
        <f t="shared" si="20"/>
        <v/>
      </c>
      <c r="AP71" s="34" t="str">
        <f t="shared" si="20"/>
        <v/>
      </c>
      <c r="AQ71" s="34" t="str">
        <f t="shared" si="20"/>
        <v/>
      </c>
      <c r="AR71" s="34" t="str">
        <f t="shared" si="20"/>
        <v/>
      </c>
      <c r="AS71" s="34" t="str">
        <f t="shared" si="20"/>
        <v/>
      </c>
      <c r="AT71" s="34"/>
      <c r="AU71" s="34"/>
      <c r="AV71" s="34" t="str">
        <f t="shared" si="21"/>
        <v/>
      </c>
      <c r="AW71" s="34" t="str">
        <f t="shared" si="21"/>
        <v/>
      </c>
      <c r="AX71" s="34" t="str">
        <f t="shared" si="21"/>
        <v/>
      </c>
      <c r="AY71" s="34" t="str">
        <f t="shared" si="21"/>
        <v/>
      </c>
      <c r="AZ71" s="34" t="str">
        <f t="shared" si="21"/>
        <v/>
      </c>
      <c r="BA71" s="34"/>
      <c r="BB71" s="34"/>
      <c r="BC71" s="34" t="str">
        <f t="shared" si="17"/>
        <v/>
      </c>
      <c r="BD71" s="34" t="str">
        <f t="shared" si="17"/>
        <v/>
      </c>
      <c r="BE71" s="34" t="str">
        <f t="shared" si="17"/>
        <v/>
      </c>
      <c r="BF71" s="34" t="str">
        <f t="shared" si="17"/>
        <v/>
      </c>
      <c r="BG71" s="34" t="str">
        <f t="shared" si="17"/>
        <v/>
      </c>
      <c r="BH71" s="34"/>
      <c r="BI71" s="34"/>
      <c r="BJ71" s="34"/>
      <c r="BK71" s="34"/>
      <c r="BL71" s="34"/>
      <c r="BM71" s="34"/>
      <c r="BN71" s="34"/>
      <c r="BO71" s="34"/>
      <c r="BP71" s="34"/>
    </row>
    <row r="72" spans="2:68" x14ac:dyDescent="0.25">
      <c r="B72" s="32">
        <f t="shared" si="22"/>
        <v>63</v>
      </c>
      <c r="C72" s="33" t="s">
        <v>1</v>
      </c>
      <c r="D72" s="37" t="s">
        <v>382</v>
      </c>
      <c r="E72" s="37"/>
      <c r="F72" s="41"/>
      <c r="G72" s="33">
        <f>SUM(G73:G79)</f>
        <v>23</v>
      </c>
      <c r="H72" s="35">
        <f>IF(Type&lt;&gt;"M",WORKDAY(I71,1),I71)</f>
        <v>46038</v>
      </c>
      <c r="I72" s="35" cm="1">
        <f t="array" ref="I72">IF(G72&lt;&gt;"",WORKDAY(Start,Duration-1),IF(Type="M",WORKDAY(Start,Duration-1),""))</f>
        <v>46070</v>
      </c>
      <c r="J72" s="43" cm="1">
        <f t="array" ref="J72">SUM(J73:J79*G73:G79)/SUM(G73:G79)</f>
        <v>0</v>
      </c>
      <c r="K72" s="46"/>
      <c r="L72" s="34"/>
      <c r="M72" s="36" t="str">
        <f t="shared" si="39"/>
        <v/>
      </c>
      <c r="N72" s="34" t="str">
        <f t="shared" si="39"/>
        <v/>
      </c>
      <c r="O72" s="34" t="str">
        <f t="shared" si="39"/>
        <v/>
      </c>
      <c r="P72" s="34" t="str">
        <f t="shared" si="39"/>
        <v/>
      </c>
      <c r="Q72" s="34" t="str">
        <f t="shared" si="39"/>
        <v/>
      </c>
      <c r="R72" s="34" t="str">
        <f t="shared" si="32"/>
        <v/>
      </c>
      <c r="S72" s="34" t="str">
        <f t="shared" si="32"/>
        <v/>
      </c>
      <c r="T72" s="34" t="str">
        <f t="shared" si="19"/>
        <v/>
      </c>
      <c r="U72" s="34" t="str">
        <f t="shared" si="19"/>
        <v/>
      </c>
      <c r="V72" s="34" t="str">
        <f t="shared" si="19"/>
        <v/>
      </c>
      <c r="W72" s="34" t="str">
        <f t="shared" si="19"/>
        <v/>
      </c>
      <c r="X72" s="34" t="str">
        <f t="shared" si="19"/>
        <v/>
      </c>
      <c r="Y72" s="34" t="str">
        <f t="shared" si="33"/>
        <v/>
      </c>
      <c r="Z72" s="34" t="str">
        <f t="shared" si="33"/>
        <v/>
      </c>
      <c r="AA72" s="34" t="str">
        <f t="shared" si="15"/>
        <v/>
      </c>
      <c r="AB72" s="34" t="str">
        <f t="shared" si="15"/>
        <v/>
      </c>
      <c r="AC72" s="34" t="str">
        <f t="shared" si="15"/>
        <v/>
      </c>
      <c r="AD72" s="34" t="str">
        <f t="shared" si="15"/>
        <v/>
      </c>
      <c r="AE72" s="34" t="str">
        <f t="shared" si="15"/>
        <v/>
      </c>
      <c r="AF72" s="34" t="str">
        <f t="shared" si="33"/>
        <v/>
      </c>
      <c r="AG72" s="34" t="str">
        <f t="shared" si="34"/>
        <v/>
      </c>
      <c r="AH72" s="34" t="str">
        <f t="shared" si="18"/>
        <v/>
      </c>
      <c r="AI72" s="34" t="str">
        <f t="shared" si="18"/>
        <v/>
      </c>
      <c r="AJ72" s="34" t="str">
        <f t="shared" si="18"/>
        <v/>
      </c>
      <c r="AK72" s="34" t="str">
        <f t="shared" si="18"/>
        <v/>
      </c>
      <c r="AL72" s="34" t="str">
        <f t="shared" si="18"/>
        <v/>
      </c>
      <c r="AM72" s="34" t="str">
        <f t="shared" si="34"/>
        <v/>
      </c>
      <c r="AN72" s="34" t="str">
        <f t="shared" si="34"/>
        <v/>
      </c>
      <c r="AO72" s="34" t="str">
        <f t="shared" si="20"/>
        <v/>
      </c>
      <c r="AP72" s="34" t="str">
        <f t="shared" si="20"/>
        <v/>
      </c>
      <c r="AQ72" s="34" t="str">
        <f t="shared" si="20"/>
        <v/>
      </c>
      <c r="AR72" s="34" t="str">
        <f t="shared" si="20"/>
        <v/>
      </c>
      <c r="AS72" s="34" t="str">
        <f t="shared" si="20"/>
        <v/>
      </c>
      <c r="AT72" s="34" t="str">
        <f t="shared" si="35"/>
        <v/>
      </c>
      <c r="AU72" s="34" t="str">
        <f t="shared" si="35"/>
        <v/>
      </c>
      <c r="AV72" s="34" t="str">
        <f t="shared" si="21"/>
        <v/>
      </c>
      <c r="AW72" s="34" t="str">
        <f t="shared" si="21"/>
        <v/>
      </c>
      <c r="AX72" s="34" t="str">
        <f t="shared" si="21"/>
        <v/>
      </c>
      <c r="AY72" s="34" t="str">
        <f t="shared" si="21"/>
        <v/>
      </c>
      <c r="AZ72" s="34" t="str">
        <f t="shared" si="21"/>
        <v/>
      </c>
      <c r="BA72" s="34" t="str">
        <f t="shared" si="36"/>
        <v/>
      </c>
      <c r="BB72" s="34" t="str">
        <f t="shared" si="36"/>
        <v/>
      </c>
      <c r="BC72" s="34" t="str">
        <f t="shared" si="17"/>
        <v/>
      </c>
      <c r="BD72" s="34" t="str">
        <f t="shared" si="17"/>
        <v/>
      </c>
      <c r="BE72" s="34" t="str">
        <f t="shared" si="17"/>
        <v/>
      </c>
      <c r="BF72" s="34" t="str">
        <f t="shared" si="17"/>
        <v/>
      </c>
      <c r="BG72" s="34" t="str">
        <f t="shared" si="17"/>
        <v/>
      </c>
      <c r="BH72" s="34" t="str">
        <f t="shared" si="36"/>
        <v/>
      </c>
      <c r="BI72" s="34" t="str">
        <f t="shared" si="36"/>
        <v/>
      </c>
      <c r="BJ72" s="34" t="str">
        <f t="shared" si="36"/>
        <v/>
      </c>
      <c r="BK72" s="34" t="str">
        <f t="shared" si="37"/>
        <v/>
      </c>
      <c r="BL72" s="34" t="str">
        <f t="shared" si="37"/>
        <v/>
      </c>
      <c r="BM72" s="34" t="str">
        <f t="shared" si="37"/>
        <v/>
      </c>
      <c r="BN72" s="34" t="str">
        <f t="shared" si="37"/>
        <v/>
      </c>
      <c r="BO72" s="34" t="str">
        <f t="shared" si="37"/>
        <v/>
      </c>
      <c r="BP72" s="34" t="str">
        <f t="shared" si="37"/>
        <v/>
      </c>
    </row>
    <row r="73" spans="2:68" outlineLevel="1" x14ac:dyDescent="0.25">
      <c r="B73" s="32">
        <f t="shared" si="22"/>
        <v>64</v>
      </c>
      <c r="C73" s="33" t="s">
        <v>5</v>
      </c>
      <c r="D73" s="34" t="s">
        <v>399</v>
      </c>
      <c r="E73" s="34"/>
      <c r="F73" s="40"/>
      <c r="G73" s="33">
        <v>3</v>
      </c>
      <c r="H73" s="35">
        <f>H72</f>
        <v>46038</v>
      </c>
      <c r="I73" s="35" cm="1">
        <f t="array" ref="I73">IF(G73&lt;&gt;"",WORKDAY(Start,Duration-1),IF(Type="M",WORKDAY(Start,Duration-1),""))</f>
        <v>46042</v>
      </c>
      <c r="J73" s="44"/>
      <c r="K73" s="47" t="s">
        <v>96</v>
      </c>
      <c r="L73" s="34"/>
      <c r="M73" s="36" t="str">
        <f t="shared" si="39"/>
        <v/>
      </c>
      <c r="N73" s="34" t="str">
        <f t="shared" si="39"/>
        <v/>
      </c>
      <c r="O73" s="34" t="str">
        <f t="shared" si="39"/>
        <v/>
      </c>
      <c r="P73" s="34" t="str">
        <f t="shared" si="39"/>
        <v/>
      </c>
      <c r="Q73" s="34" t="str">
        <f t="shared" si="39"/>
        <v/>
      </c>
      <c r="R73" s="34" t="str">
        <f t="shared" si="32"/>
        <v/>
      </c>
      <c r="S73" s="34" t="str">
        <f t="shared" si="32"/>
        <v/>
      </c>
      <c r="T73" s="34" t="str">
        <f t="shared" si="19"/>
        <v/>
      </c>
      <c r="U73" s="34" t="str">
        <f t="shared" si="19"/>
        <v/>
      </c>
      <c r="V73" s="34" t="str">
        <f t="shared" si="19"/>
        <v/>
      </c>
      <c r="W73" s="34" t="str">
        <f t="shared" si="19"/>
        <v/>
      </c>
      <c r="X73" s="34" t="str">
        <f t="shared" si="19"/>
        <v/>
      </c>
      <c r="Y73" s="34" t="str">
        <f t="shared" si="33"/>
        <v/>
      </c>
      <c r="Z73" s="34" t="str">
        <f t="shared" si="33"/>
        <v/>
      </c>
      <c r="AA73" s="34" t="str">
        <f t="shared" si="15"/>
        <v/>
      </c>
      <c r="AB73" s="34" t="str">
        <f t="shared" si="15"/>
        <v/>
      </c>
      <c r="AC73" s="34" t="str">
        <f t="shared" si="15"/>
        <v/>
      </c>
      <c r="AD73" s="34" t="str">
        <f t="shared" si="15"/>
        <v/>
      </c>
      <c r="AE73" s="34" t="str">
        <f t="shared" si="15"/>
        <v/>
      </c>
      <c r="AF73" s="34" t="str">
        <f t="shared" si="33"/>
        <v/>
      </c>
      <c r="AG73" s="34" t="str">
        <f t="shared" si="34"/>
        <v/>
      </c>
      <c r="AH73" s="34" t="str">
        <f t="shared" si="18"/>
        <v/>
      </c>
      <c r="AI73" s="34" t="str">
        <f t="shared" si="18"/>
        <v/>
      </c>
      <c r="AJ73" s="34" t="str">
        <f t="shared" si="18"/>
        <v/>
      </c>
      <c r="AK73" s="34" t="str">
        <f t="shared" si="18"/>
        <v/>
      </c>
      <c r="AL73" s="34" t="str">
        <f t="shared" si="18"/>
        <v/>
      </c>
      <c r="AM73" s="34" t="str">
        <f t="shared" si="34"/>
        <v/>
      </c>
      <c r="AN73" s="34" t="str">
        <f t="shared" si="34"/>
        <v/>
      </c>
      <c r="AO73" s="34" t="str">
        <f t="shared" si="20"/>
        <v/>
      </c>
      <c r="AP73" s="34" t="str">
        <f t="shared" si="20"/>
        <v/>
      </c>
      <c r="AQ73" s="34" t="str">
        <f t="shared" si="20"/>
        <v/>
      </c>
      <c r="AR73" s="34" t="str">
        <f t="shared" si="20"/>
        <v/>
      </c>
      <c r="AS73" s="34" t="str">
        <f t="shared" si="20"/>
        <v/>
      </c>
      <c r="AT73" s="34" t="str">
        <f t="shared" si="35"/>
        <v/>
      </c>
      <c r="AU73" s="34" t="str">
        <f t="shared" si="35"/>
        <v/>
      </c>
      <c r="AV73" s="34" t="str">
        <f t="shared" si="21"/>
        <v/>
      </c>
      <c r="AW73" s="34" t="str">
        <f t="shared" si="21"/>
        <v/>
      </c>
      <c r="AX73" s="34" t="str">
        <f t="shared" si="21"/>
        <v/>
      </c>
      <c r="AY73" s="34" t="str">
        <f t="shared" si="21"/>
        <v/>
      </c>
      <c r="AZ73" s="34" t="str">
        <f t="shared" si="21"/>
        <v/>
      </c>
      <c r="BA73" s="34" t="str">
        <f t="shared" si="36"/>
        <v/>
      </c>
      <c r="BB73" s="34" t="str">
        <f t="shared" si="36"/>
        <v/>
      </c>
      <c r="BC73" s="34" t="str">
        <f t="shared" si="17"/>
        <v/>
      </c>
      <c r="BD73" s="34" t="str">
        <f t="shared" si="17"/>
        <v/>
      </c>
      <c r="BE73" s="34" t="str">
        <f t="shared" si="17"/>
        <v/>
      </c>
      <c r="BF73" s="34" t="str">
        <f t="shared" si="17"/>
        <v/>
      </c>
      <c r="BG73" s="34" t="str">
        <f t="shared" si="17"/>
        <v/>
      </c>
      <c r="BH73" s="34" t="str">
        <f t="shared" si="36"/>
        <v/>
      </c>
      <c r="BI73" s="34" t="str">
        <f t="shared" si="36"/>
        <v/>
      </c>
      <c r="BJ73" s="34" t="str">
        <f t="shared" si="36"/>
        <v/>
      </c>
      <c r="BK73" s="34" t="str">
        <f t="shared" si="37"/>
        <v/>
      </c>
      <c r="BL73" s="34" t="str">
        <f t="shared" si="37"/>
        <v/>
      </c>
      <c r="BM73" s="34" t="str">
        <f t="shared" si="37"/>
        <v/>
      </c>
      <c r="BN73" s="34" t="str">
        <f t="shared" si="37"/>
        <v/>
      </c>
      <c r="BO73" s="34" t="str">
        <f t="shared" si="37"/>
        <v/>
      </c>
      <c r="BP73" s="34" t="str">
        <f t="shared" si="37"/>
        <v/>
      </c>
    </row>
    <row r="74" spans="2:68" outlineLevel="1" x14ac:dyDescent="0.25">
      <c r="B74" s="32">
        <f t="shared" si="22"/>
        <v>65</v>
      </c>
      <c r="C74" s="33" t="s">
        <v>5</v>
      </c>
      <c r="D74" s="34" t="s">
        <v>32</v>
      </c>
      <c r="E74" s="34"/>
      <c r="F74" s="40"/>
      <c r="G74" s="33">
        <v>3</v>
      </c>
      <c r="H74" s="35">
        <f t="shared" ref="H74:H80" si="40">IF(Type&lt;&gt;"M",WORKDAY(I73,1),I73)</f>
        <v>46043</v>
      </c>
      <c r="I74" s="35" cm="1">
        <f t="array" ref="I74">IF(G74&lt;&gt;"",WORKDAY(Start,Duration-1),IF(Type="M",WORKDAY(Start,Duration-1),""))</f>
        <v>46045</v>
      </c>
      <c r="J74" s="44"/>
      <c r="K74" s="47" t="s">
        <v>96</v>
      </c>
      <c r="L74" s="34"/>
      <c r="M74" s="36" t="str">
        <f t="shared" si="39"/>
        <v/>
      </c>
      <c r="N74" s="34" t="str">
        <f t="shared" si="39"/>
        <v/>
      </c>
      <c r="O74" s="34" t="str">
        <f t="shared" si="39"/>
        <v/>
      </c>
      <c r="P74" s="34" t="str">
        <f t="shared" si="39"/>
        <v/>
      </c>
      <c r="Q74" s="34" t="str">
        <f t="shared" si="39"/>
        <v/>
      </c>
      <c r="R74" s="34" t="str">
        <f t="shared" si="32"/>
        <v/>
      </c>
      <c r="S74" s="34" t="str">
        <f t="shared" si="32"/>
        <v/>
      </c>
      <c r="T74" s="34" t="str">
        <f t="shared" si="19"/>
        <v/>
      </c>
      <c r="U74" s="34" t="str">
        <f t="shared" si="19"/>
        <v/>
      </c>
      <c r="V74" s="34" t="str">
        <f t="shared" si="19"/>
        <v/>
      </c>
      <c r="W74" s="34" t="str">
        <f t="shared" si="19"/>
        <v/>
      </c>
      <c r="X74" s="34" t="str">
        <f t="shared" si="19"/>
        <v/>
      </c>
      <c r="Y74" s="34" t="str">
        <f t="shared" si="33"/>
        <v/>
      </c>
      <c r="Z74" s="34" t="str">
        <f t="shared" si="33"/>
        <v/>
      </c>
      <c r="AA74" s="34" t="str">
        <f t="shared" si="15"/>
        <v/>
      </c>
      <c r="AB74" s="34" t="str">
        <f t="shared" si="15"/>
        <v/>
      </c>
      <c r="AC74" s="34" t="str">
        <f t="shared" si="15"/>
        <v/>
      </c>
      <c r="AD74" s="34" t="str">
        <f t="shared" si="15"/>
        <v/>
      </c>
      <c r="AE74" s="34" t="str">
        <f t="shared" si="15"/>
        <v/>
      </c>
      <c r="AF74" s="34" t="str">
        <f t="shared" si="33"/>
        <v/>
      </c>
      <c r="AG74" s="34" t="str">
        <f t="shared" si="34"/>
        <v/>
      </c>
      <c r="AH74" s="34" t="str">
        <f t="shared" si="18"/>
        <v/>
      </c>
      <c r="AI74" s="34" t="str">
        <f t="shared" si="18"/>
        <v/>
      </c>
      <c r="AJ74" s="34" t="str">
        <f t="shared" si="18"/>
        <v/>
      </c>
      <c r="AK74" s="34" t="str">
        <f t="shared" si="18"/>
        <v/>
      </c>
      <c r="AL74" s="34" t="str">
        <f t="shared" si="18"/>
        <v/>
      </c>
      <c r="AM74" s="34" t="str">
        <f t="shared" si="34"/>
        <v/>
      </c>
      <c r="AN74" s="34" t="str">
        <f t="shared" si="34"/>
        <v/>
      </c>
      <c r="AO74" s="34" t="str">
        <f t="shared" si="20"/>
        <v/>
      </c>
      <c r="AP74" s="34" t="str">
        <f t="shared" si="20"/>
        <v/>
      </c>
      <c r="AQ74" s="34" t="str">
        <f t="shared" si="20"/>
        <v/>
      </c>
      <c r="AR74" s="34" t="str">
        <f t="shared" si="20"/>
        <v/>
      </c>
      <c r="AS74" s="34" t="str">
        <f t="shared" si="20"/>
        <v/>
      </c>
      <c r="AT74" s="34" t="str">
        <f t="shared" si="35"/>
        <v/>
      </c>
      <c r="AU74" s="34" t="str">
        <f t="shared" si="35"/>
        <v/>
      </c>
      <c r="AV74" s="34" t="str">
        <f t="shared" si="21"/>
        <v/>
      </c>
      <c r="AW74" s="34" t="str">
        <f t="shared" si="21"/>
        <v/>
      </c>
      <c r="AX74" s="34" t="str">
        <f t="shared" si="21"/>
        <v/>
      </c>
      <c r="AY74" s="34" t="str">
        <f t="shared" si="21"/>
        <v/>
      </c>
      <c r="AZ74" s="34" t="str">
        <f t="shared" si="21"/>
        <v/>
      </c>
      <c r="BA74" s="34" t="str">
        <f t="shared" si="36"/>
        <v/>
      </c>
      <c r="BB74" s="34" t="str">
        <f t="shared" si="36"/>
        <v/>
      </c>
      <c r="BC74" s="34" t="str">
        <f t="shared" si="17"/>
        <v/>
      </c>
      <c r="BD74" s="34" t="str">
        <f t="shared" si="17"/>
        <v/>
      </c>
      <c r="BE74" s="34" t="str">
        <f t="shared" si="17"/>
        <v/>
      </c>
      <c r="BF74" s="34" t="str">
        <f t="shared" si="17"/>
        <v/>
      </c>
      <c r="BG74" s="34" t="str">
        <f t="shared" si="17"/>
        <v/>
      </c>
      <c r="BH74" s="34" t="str">
        <f t="shared" si="36"/>
        <v/>
      </c>
      <c r="BI74" s="34" t="str">
        <f t="shared" si="36"/>
        <v/>
      </c>
      <c r="BJ74" s="34" t="str">
        <f t="shared" si="36"/>
        <v/>
      </c>
      <c r="BK74" s="34" t="str">
        <f t="shared" si="37"/>
        <v/>
      </c>
      <c r="BL74" s="34" t="str">
        <f t="shared" si="37"/>
        <v/>
      </c>
      <c r="BM74" s="34" t="str">
        <f t="shared" si="37"/>
        <v/>
      </c>
      <c r="BN74" s="34" t="str">
        <f t="shared" si="37"/>
        <v/>
      </c>
      <c r="BO74" s="34" t="str">
        <f t="shared" si="37"/>
        <v/>
      </c>
      <c r="BP74" s="34" t="str">
        <f t="shared" si="37"/>
        <v/>
      </c>
    </row>
    <row r="75" spans="2:68" outlineLevel="1" x14ac:dyDescent="0.25">
      <c r="B75" s="32">
        <f t="shared" si="22"/>
        <v>66</v>
      </c>
      <c r="C75" s="33" t="s">
        <v>5</v>
      </c>
      <c r="D75" s="34" t="s">
        <v>683</v>
      </c>
      <c r="E75" s="34"/>
      <c r="F75" s="40"/>
      <c r="G75" s="33">
        <v>1</v>
      </c>
      <c r="H75" s="35">
        <f t="shared" si="40"/>
        <v>46048</v>
      </c>
      <c r="I75" s="35" cm="1">
        <f t="array" ref="I75">IF(G75&lt;&gt;"",WORKDAY(Start,Duration-1),IF(Type="M",WORKDAY(Start,Duration-1),""))</f>
        <v>46048</v>
      </c>
      <c r="J75" s="44"/>
      <c r="K75" s="47" t="s">
        <v>96</v>
      </c>
      <c r="L75" s="34" t="s">
        <v>417</v>
      </c>
      <c r="M75" s="36" t="str">
        <f t="shared" si="39"/>
        <v/>
      </c>
      <c r="N75" s="34" t="str">
        <f t="shared" si="39"/>
        <v/>
      </c>
      <c r="O75" s="34" t="str">
        <f t="shared" si="39"/>
        <v/>
      </c>
      <c r="P75" s="34" t="str">
        <f t="shared" si="39"/>
        <v/>
      </c>
      <c r="Q75" s="34" t="str">
        <f t="shared" si="39"/>
        <v/>
      </c>
      <c r="R75" s="34" t="str">
        <f t="shared" si="32"/>
        <v/>
      </c>
      <c r="S75" s="34" t="str">
        <f t="shared" si="32"/>
        <v/>
      </c>
      <c r="T75" s="34" t="str">
        <f t="shared" si="19"/>
        <v/>
      </c>
      <c r="U75" s="34" t="str">
        <f t="shared" si="19"/>
        <v/>
      </c>
      <c r="V75" s="34" t="str">
        <f t="shared" si="19"/>
        <v/>
      </c>
      <c r="W75" s="34" t="str">
        <f t="shared" si="19"/>
        <v/>
      </c>
      <c r="X75" s="34" t="str">
        <f t="shared" si="19"/>
        <v/>
      </c>
      <c r="Y75" s="34" t="str">
        <f t="shared" si="33"/>
        <v/>
      </c>
      <c r="Z75" s="34" t="str">
        <f t="shared" si="33"/>
        <v/>
      </c>
      <c r="AA75" s="34" t="str">
        <f t="shared" si="15"/>
        <v/>
      </c>
      <c r="AB75" s="34" t="str">
        <f t="shared" si="15"/>
        <v/>
      </c>
      <c r="AC75" s="34" t="str">
        <f t="shared" si="15"/>
        <v/>
      </c>
      <c r="AD75" s="34" t="str">
        <f t="shared" si="15"/>
        <v/>
      </c>
      <c r="AE75" s="34" t="str">
        <f t="shared" si="15"/>
        <v/>
      </c>
      <c r="AF75" s="34" t="str">
        <f t="shared" si="33"/>
        <v/>
      </c>
      <c r="AG75" s="34" t="str">
        <f t="shared" si="34"/>
        <v/>
      </c>
      <c r="AH75" s="34" t="str">
        <f t="shared" si="18"/>
        <v/>
      </c>
      <c r="AI75" s="34" t="str">
        <f t="shared" si="18"/>
        <v/>
      </c>
      <c r="AJ75" s="34" t="str">
        <f t="shared" si="18"/>
        <v/>
      </c>
      <c r="AK75" s="34" t="str">
        <f t="shared" si="18"/>
        <v/>
      </c>
      <c r="AL75" s="34" t="str">
        <f t="shared" si="18"/>
        <v/>
      </c>
      <c r="AM75" s="34" t="str">
        <f t="shared" si="34"/>
        <v/>
      </c>
      <c r="AN75" s="34" t="str">
        <f t="shared" si="34"/>
        <v/>
      </c>
      <c r="AO75" s="34" t="str">
        <f t="shared" si="20"/>
        <v/>
      </c>
      <c r="AP75" s="34" t="str">
        <f t="shared" si="20"/>
        <v/>
      </c>
      <c r="AQ75" s="34" t="str">
        <f t="shared" si="20"/>
        <v/>
      </c>
      <c r="AR75" s="34" t="str">
        <f t="shared" si="20"/>
        <v/>
      </c>
      <c r="AS75" s="34" t="str">
        <f t="shared" si="20"/>
        <v/>
      </c>
      <c r="AT75" s="34" t="str">
        <f t="shared" si="35"/>
        <v/>
      </c>
      <c r="AU75" s="34" t="str">
        <f t="shared" si="35"/>
        <v/>
      </c>
      <c r="AV75" s="34" t="str">
        <f t="shared" si="21"/>
        <v/>
      </c>
      <c r="AW75" s="34" t="str">
        <f t="shared" si="21"/>
        <v/>
      </c>
      <c r="AX75" s="34" t="str">
        <f t="shared" si="21"/>
        <v/>
      </c>
      <c r="AY75" s="34" t="str">
        <f t="shared" si="21"/>
        <v/>
      </c>
      <c r="AZ75" s="34" t="str">
        <f t="shared" si="21"/>
        <v/>
      </c>
      <c r="BA75" s="34" t="str">
        <f t="shared" si="36"/>
        <v/>
      </c>
      <c r="BB75" s="34" t="str">
        <f t="shared" si="36"/>
        <v/>
      </c>
      <c r="BC75" s="34" t="str">
        <f t="shared" si="17"/>
        <v/>
      </c>
      <c r="BD75" s="34" t="str">
        <f t="shared" si="17"/>
        <v/>
      </c>
      <c r="BE75" s="34" t="str">
        <f t="shared" si="17"/>
        <v/>
      </c>
      <c r="BF75" s="34" t="str">
        <f t="shared" si="17"/>
        <v/>
      </c>
      <c r="BG75" s="34" t="str">
        <f t="shared" si="17"/>
        <v/>
      </c>
      <c r="BH75" s="34" t="str">
        <f t="shared" si="36"/>
        <v/>
      </c>
      <c r="BI75" s="34" t="str">
        <f t="shared" si="36"/>
        <v/>
      </c>
      <c r="BJ75" s="34" t="str">
        <f t="shared" si="36"/>
        <v/>
      </c>
      <c r="BK75" s="34" t="str">
        <f t="shared" si="37"/>
        <v/>
      </c>
      <c r="BL75" s="34" t="str">
        <f t="shared" si="37"/>
        <v/>
      </c>
      <c r="BM75" s="34" t="str">
        <f t="shared" si="37"/>
        <v/>
      </c>
      <c r="BN75" s="34" t="str">
        <f t="shared" si="37"/>
        <v/>
      </c>
      <c r="BO75" s="34" t="str">
        <f t="shared" si="37"/>
        <v/>
      </c>
      <c r="BP75" s="34" t="str">
        <f t="shared" si="37"/>
        <v/>
      </c>
    </row>
    <row r="76" spans="2:68" outlineLevel="1" x14ac:dyDescent="0.25">
      <c r="B76" s="32">
        <f t="shared" si="22"/>
        <v>67</v>
      </c>
      <c r="C76" s="33" t="s">
        <v>5</v>
      </c>
      <c r="D76" s="34" t="s">
        <v>438</v>
      </c>
      <c r="E76" s="34"/>
      <c r="F76" s="40"/>
      <c r="G76" s="33">
        <v>5</v>
      </c>
      <c r="H76" s="35">
        <f t="shared" si="40"/>
        <v>46049</v>
      </c>
      <c r="I76" s="35" cm="1">
        <f t="array" ref="I76">IF(G76&lt;&gt;"",WORKDAY(Start,Duration-1),IF(Type="M",WORKDAY(Start,Duration-1),""))</f>
        <v>46055</v>
      </c>
      <c r="J76" s="44"/>
      <c r="K76" s="47" t="s">
        <v>418</v>
      </c>
      <c r="L76" s="34" t="s">
        <v>65</v>
      </c>
      <c r="M76" s="36" t="str">
        <f t="shared" si="39"/>
        <v/>
      </c>
      <c r="N76" s="34" t="str">
        <f t="shared" si="39"/>
        <v/>
      </c>
      <c r="O76" s="34" t="str">
        <f t="shared" si="39"/>
        <v/>
      </c>
      <c r="P76" s="34" t="str">
        <f t="shared" si="39"/>
        <v/>
      </c>
      <c r="Q76" s="34" t="str">
        <f t="shared" si="39"/>
        <v/>
      </c>
      <c r="R76" s="34" t="str">
        <f t="shared" ref="R76:X90" si="41">IF(AND(Type="M",Start=Date),"◆","")</f>
        <v/>
      </c>
      <c r="S76" s="34" t="str">
        <f t="shared" si="41"/>
        <v/>
      </c>
      <c r="T76" s="34" t="str">
        <f t="shared" si="19"/>
        <v/>
      </c>
      <c r="U76" s="34" t="str">
        <f t="shared" si="19"/>
        <v/>
      </c>
      <c r="V76" s="34" t="str">
        <f t="shared" si="19"/>
        <v/>
      </c>
      <c r="W76" s="34" t="str">
        <f t="shared" si="19"/>
        <v/>
      </c>
      <c r="X76" s="34" t="str">
        <f t="shared" si="19"/>
        <v/>
      </c>
      <c r="Y76" s="34" t="str">
        <f t="shared" ref="Y76:AF88" si="42">IF(AND(Type="M",Start=Date),"◆","")</f>
        <v/>
      </c>
      <c r="Z76" s="34" t="str">
        <f t="shared" si="42"/>
        <v/>
      </c>
      <c r="AA76" s="34" t="str">
        <f t="shared" si="15"/>
        <v/>
      </c>
      <c r="AB76" s="34" t="str">
        <f t="shared" si="15"/>
        <v/>
      </c>
      <c r="AC76" s="34" t="str">
        <f t="shared" si="15"/>
        <v/>
      </c>
      <c r="AD76" s="34" t="str">
        <f t="shared" si="15"/>
        <v/>
      </c>
      <c r="AE76" s="34" t="str">
        <f t="shared" si="15"/>
        <v/>
      </c>
      <c r="AF76" s="34" t="str">
        <f t="shared" si="42"/>
        <v/>
      </c>
      <c r="AG76" s="34" t="str">
        <f t="shared" ref="AG76:AS90" si="43">IF(AND(Type="M",Start=Date),"◆","")</f>
        <v/>
      </c>
      <c r="AH76" s="34" t="str">
        <f t="shared" si="18"/>
        <v/>
      </c>
      <c r="AI76" s="34" t="str">
        <f t="shared" si="18"/>
        <v/>
      </c>
      <c r="AJ76" s="34" t="str">
        <f t="shared" si="18"/>
        <v/>
      </c>
      <c r="AK76" s="34" t="str">
        <f t="shared" si="18"/>
        <v/>
      </c>
      <c r="AL76" s="34" t="str">
        <f t="shared" si="18"/>
        <v/>
      </c>
      <c r="AM76" s="34" t="str">
        <f t="shared" si="43"/>
        <v/>
      </c>
      <c r="AN76" s="34" t="str">
        <f t="shared" si="43"/>
        <v/>
      </c>
      <c r="AO76" s="34" t="str">
        <f t="shared" si="20"/>
        <v/>
      </c>
      <c r="AP76" s="34" t="str">
        <f t="shared" si="20"/>
        <v/>
      </c>
      <c r="AQ76" s="34" t="str">
        <f t="shared" si="20"/>
        <v/>
      </c>
      <c r="AR76" s="34" t="str">
        <f t="shared" si="20"/>
        <v/>
      </c>
      <c r="AS76" s="34" t="str">
        <f t="shared" si="20"/>
        <v/>
      </c>
      <c r="AT76" s="34" t="str">
        <f t="shared" ref="AT76:AZ90" si="44">IF(AND(Type="M",Start=Date),"◆","")</f>
        <v/>
      </c>
      <c r="AU76" s="34" t="str">
        <f t="shared" si="44"/>
        <v/>
      </c>
      <c r="AV76" s="34" t="str">
        <f t="shared" si="21"/>
        <v/>
      </c>
      <c r="AW76" s="34" t="str">
        <f t="shared" si="21"/>
        <v/>
      </c>
      <c r="AX76" s="34" t="str">
        <f t="shared" si="21"/>
        <v/>
      </c>
      <c r="AY76" s="34" t="str">
        <f t="shared" si="21"/>
        <v/>
      </c>
      <c r="AZ76" s="34" t="str">
        <f t="shared" si="21"/>
        <v/>
      </c>
      <c r="BA76" s="34" t="str">
        <f t="shared" ref="BA76:BJ88" si="45">IF(AND(Type="M",Start=Date),"◆","")</f>
        <v/>
      </c>
      <c r="BB76" s="34" t="str">
        <f t="shared" si="45"/>
        <v/>
      </c>
      <c r="BC76" s="34" t="str">
        <f t="shared" si="17"/>
        <v/>
      </c>
      <c r="BD76" s="34" t="str">
        <f t="shared" si="17"/>
        <v/>
      </c>
      <c r="BE76" s="34" t="str">
        <f t="shared" si="17"/>
        <v/>
      </c>
      <c r="BF76" s="34" t="str">
        <f t="shared" si="17"/>
        <v/>
      </c>
      <c r="BG76" s="34" t="str">
        <f t="shared" si="17"/>
        <v/>
      </c>
      <c r="BH76" s="34" t="str">
        <f t="shared" si="45"/>
        <v/>
      </c>
      <c r="BI76" s="34" t="str">
        <f t="shared" si="45"/>
        <v/>
      </c>
      <c r="BJ76" s="34" t="str">
        <f t="shared" si="45"/>
        <v/>
      </c>
      <c r="BK76" s="34" t="str">
        <f t="shared" ref="BK76:BP88" si="46">IF(AND(Type="M",Start=Date),"◆","")</f>
        <v/>
      </c>
      <c r="BL76" s="34" t="str">
        <f t="shared" si="46"/>
        <v/>
      </c>
      <c r="BM76" s="34" t="str">
        <f t="shared" si="46"/>
        <v/>
      </c>
      <c r="BN76" s="34" t="str">
        <f t="shared" si="46"/>
        <v/>
      </c>
      <c r="BO76" s="34" t="str">
        <f t="shared" si="46"/>
        <v/>
      </c>
      <c r="BP76" s="34" t="str">
        <f t="shared" si="46"/>
        <v/>
      </c>
    </row>
    <row r="77" spans="2:68" outlineLevel="1" x14ac:dyDescent="0.25">
      <c r="B77" s="32">
        <f t="shared" si="22"/>
        <v>68</v>
      </c>
      <c r="C77" s="33" t="s">
        <v>5</v>
      </c>
      <c r="D77" s="34" t="s">
        <v>439</v>
      </c>
      <c r="E77" s="34"/>
      <c r="F77" s="40"/>
      <c r="G77" s="33">
        <v>5</v>
      </c>
      <c r="H77" s="35">
        <f t="shared" si="40"/>
        <v>46056</v>
      </c>
      <c r="I77" s="35" cm="1">
        <f t="array" ref="I77">IF(G77&lt;&gt;"",WORKDAY(Start,Duration-1),IF(Type="M",WORKDAY(Start,Duration-1),""))</f>
        <v>46062</v>
      </c>
      <c r="J77" s="44"/>
      <c r="K77" s="47" t="s">
        <v>419</v>
      </c>
      <c r="L77" s="34" t="s">
        <v>66</v>
      </c>
      <c r="M77" s="36" t="str">
        <f t="shared" si="39"/>
        <v/>
      </c>
      <c r="N77" s="34" t="str">
        <f t="shared" si="39"/>
        <v/>
      </c>
      <c r="O77" s="34" t="str">
        <f t="shared" si="39"/>
        <v/>
      </c>
      <c r="P77" s="34" t="str">
        <f t="shared" si="39"/>
        <v/>
      </c>
      <c r="Q77" s="34" t="str">
        <f t="shared" si="39"/>
        <v/>
      </c>
      <c r="R77" s="34" t="str">
        <f t="shared" si="41"/>
        <v/>
      </c>
      <c r="S77" s="34" t="str">
        <f t="shared" si="41"/>
        <v/>
      </c>
      <c r="T77" s="34" t="str">
        <f t="shared" si="19"/>
        <v/>
      </c>
      <c r="U77" s="34" t="str">
        <f t="shared" si="19"/>
        <v/>
      </c>
      <c r="V77" s="34" t="str">
        <f t="shared" si="19"/>
        <v/>
      </c>
      <c r="W77" s="34" t="str">
        <f t="shared" si="19"/>
        <v/>
      </c>
      <c r="X77" s="34" t="str">
        <f t="shared" si="19"/>
        <v/>
      </c>
      <c r="Y77" s="34" t="str">
        <f t="shared" si="42"/>
        <v/>
      </c>
      <c r="Z77" s="34" t="str">
        <f t="shared" si="42"/>
        <v/>
      </c>
      <c r="AA77" s="34" t="str">
        <f t="shared" si="15"/>
        <v/>
      </c>
      <c r="AB77" s="34" t="str">
        <f t="shared" si="15"/>
        <v/>
      </c>
      <c r="AC77" s="34" t="str">
        <f t="shared" si="15"/>
        <v/>
      </c>
      <c r="AD77" s="34" t="str">
        <f t="shared" si="15"/>
        <v/>
      </c>
      <c r="AE77" s="34" t="str">
        <f t="shared" si="15"/>
        <v/>
      </c>
      <c r="AF77" s="34" t="str">
        <f t="shared" si="42"/>
        <v/>
      </c>
      <c r="AG77" s="34" t="str">
        <f t="shared" si="43"/>
        <v/>
      </c>
      <c r="AH77" s="34" t="str">
        <f t="shared" si="18"/>
        <v/>
      </c>
      <c r="AI77" s="34" t="str">
        <f t="shared" si="18"/>
        <v/>
      </c>
      <c r="AJ77" s="34" t="str">
        <f t="shared" si="18"/>
        <v/>
      </c>
      <c r="AK77" s="34" t="str">
        <f t="shared" si="18"/>
        <v/>
      </c>
      <c r="AL77" s="34" t="str">
        <f t="shared" si="18"/>
        <v/>
      </c>
      <c r="AM77" s="34" t="str">
        <f t="shared" si="43"/>
        <v/>
      </c>
      <c r="AN77" s="34" t="str">
        <f t="shared" si="43"/>
        <v/>
      </c>
      <c r="AO77" s="34" t="str">
        <f t="shared" si="20"/>
        <v/>
      </c>
      <c r="AP77" s="34" t="str">
        <f t="shared" si="20"/>
        <v/>
      </c>
      <c r="AQ77" s="34" t="str">
        <f t="shared" si="20"/>
        <v/>
      </c>
      <c r="AR77" s="34" t="str">
        <f t="shared" si="20"/>
        <v/>
      </c>
      <c r="AS77" s="34" t="str">
        <f t="shared" si="20"/>
        <v/>
      </c>
      <c r="AT77" s="34" t="str">
        <f t="shared" si="44"/>
        <v/>
      </c>
      <c r="AU77" s="34" t="str">
        <f t="shared" si="44"/>
        <v/>
      </c>
      <c r="AV77" s="34" t="str">
        <f t="shared" si="21"/>
        <v/>
      </c>
      <c r="AW77" s="34" t="str">
        <f t="shared" si="21"/>
        <v/>
      </c>
      <c r="AX77" s="34" t="str">
        <f t="shared" si="21"/>
        <v/>
      </c>
      <c r="AY77" s="34" t="str">
        <f t="shared" si="21"/>
        <v/>
      </c>
      <c r="AZ77" s="34" t="str">
        <f t="shared" si="21"/>
        <v/>
      </c>
      <c r="BA77" s="34" t="str">
        <f t="shared" si="45"/>
        <v/>
      </c>
      <c r="BB77" s="34" t="str">
        <f t="shared" si="45"/>
        <v/>
      </c>
      <c r="BC77" s="34" t="str">
        <f t="shared" si="17"/>
        <v/>
      </c>
      <c r="BD77" s="34" t="str">
        <f t="shared" si="17"/>
        <v/>
      </c>
      <c r="BE77" s="34" t="str">
        <f t="shared" si="17"/>
        <v/>
      </c>
      <c r="BF77" s="34" t="str">
        <f t="shared" si="17"/>
        <v/>
      </c>
      <c r="BG77" s="34" t="str">
        <f t="shared" si="17"/>
        <v/>
      </c>
      <c r="BH77" s="34" t="str">
        <f t="shared" si="45"/>
        <v/>
      </c>
      <c r="BI77" s="34" t="str">
        <f t="shared" si="45"/>
        <v/>
      </c>
      <c r="BJ77" s="34" t="str">
        <f t="shared" si="45"/>
        <v/>
      </c>
      <c r="BK77" s="34" t="str">
        <f t="shared" si="46"/>
        <v/>
      </c>
      <c r="BL77" s="34" t="str">
        <f t="shared" si="46"/>
        <v/>
      </c>
      <c r="BM77" s="34" t="str">
        <f t="shared" si="46"/>
        <v/>
      </c>
      <c r="BN77" s="34" t="str">
        <f t="shared" si="46"/>
        <v/>
      </c>
      <c r="BO77" s="34" t="str">
        <f t="shared" si="46"/>
        <v/>
      </c>
      <c r="BP77" s="34" t="str">
        <f t="shared" si="46"/>
        <v/>
      </c>
    </row>
    <row r="78" spans="2:68" outlineLevel="1" x14ac:dyDescent="0.25">
      <c r="B78" s="32">
        <f t="shared" si="22"/>
        <v>69</v>
      </c>
      <c r="C78" s="33" t="s">
        <v>5</v>
      </c>
      <c r="D78" s="34" t="s">
        <v>523</v>
      </c>
      <c r="E78" s="34"/>
      <c r="F78" s="40"/>
      <c r="G78" s="33">
        <v>5</v>
      </c>
      <c r="H78" s="35">
        <f>IF(Type&lt;&gt;"M",WORKDAY(I77,1),I77)</f>
        <v>46063</v>
      </c>
      <c r="I78" s="35" cm="1">
        <f t="array" ref="I78">IF(G78&lt;&gt;"",WORKDAY(Start,Duration-1),IF(Type="M",WORKDAY(Start,Duration-1),""))</f>
        <v>46069</v>
      </c>
      <c r="J78" s="44"/>
      <c r="K78" s="47" t="s">
        <v>674</v>
      </c>
      <c r="L78" s="34"/>
      <c r="M78" s="36" t="str">
        <f t="shared" si="39"/>
        <v/>
      </c>
      <c r="N78" s="34" t="str">
        <f t="shared" si="39"/>
        <v/>
      </c>
      <c r="O78" s="34" t="str">
        <f t="shared" si="39"/>
        <v/>
      </c>
      <c r="P78" s="34" t="str">
        <f t="shared" si="39"/>
        <v/>
      </c>
      <c r="Q78" s="34" t="str">
        <f t="shared" si="39"/>
        <v/>
      </c>
      <c r="R78" s="34"/>
      <c r="S78" s="34"/>
      <c r="T78" s="34" t="str">
        <f t="shared" si="19"/>
        <v/>
      </c>
      <c r="U78" s="34" t="str">
        <f t="shared" si="19"/>
        <v/>
      </c>
      <c r="V78" s="34" t="str">
        <f t="shared" si="19"/>
        <v/>
      </c>
      <c r="W78" s="34" t="str">
        <f t="shared" si="19"/>
        <v/>
      </c>
      <c r="X78" s="34" t="str">
        <f t="shared" si="19"/>
        <v/>
      </c>
      <c r="Y78" s="34"/>
      <c r="Z78" s="34"/>
      <c r="AA78" s="34" t="str">
        <f t="shared" si="15"/>
        <v/>
      </c>
      <c r="AB78" s="34" t="str">
        <f t="shared" si="15"/>
        <v/>
      </c>
      <c r="AC78" s="34" t="str">
        <f t="shared" si="15"/>
        <v/>
      </c>
      <c r="AD78" s="34" t="str">
        <f t="shared" ref="AC78:AE105" si="47">IF(AND(Type="M",Start=Date),"◆","")</f>
        <v/>
      </c>
      <c r="AE78" s="34" t="str">
        <f t="shared" si="47"/>
        <v/>
      </c>
      <c r="AF78" s="34"/>
      <c r="AG78" s="34"/>
      <c r="AH78" s="34" t="str">
        <f t="shared" si="18"/>
        <v/>
      </c>
      <c r="AI78" s="34" t="str">
        <f t="shared" si="18"/>
        <v/>
      </c>
      <c r="AJ78" s="34" t="str">
        <f t="shared" si="18"/>
        <v/>
      </c>
      <c r="AK78" s="34" t="str">
        <f t="shared" si="18"/>
        <v/>
      </c>
      <c r="AL78" s="34" t="str">
        <f t="shared" si="18"/>
        <v/>
      </c>
      <c r="AM78" s="34"/>
      <c r="AN78" s="34"/>
      <c r="AO78" s="34" t="str">
        <f t="shared" si="20"/>
        <v/>
      </c>
      <c r="AP78" s="34" t="str">
        <f t="shared" si="20"/>
        <v/>
      </c>
      <c r="AQ78" s="34" t="str">
        <f t="shared" si="20"/>
        <v/>
      </c>
      <c r="AR78" s="34" t="str">
        <f t="shared" si="20"/>
        <v/>
      </c>
      <c r="AS78" s="34" t="str">
        <f t="shared" si="20"/>
        <v/>
      </c>
      <c r="AT78" s="34"/>
      <c r="AU78" s="34"/>
      <c r="AV78" s="34" t="str">
        <f t="shared" si="21"/>
        <v/>
      </c>
      <c r="AW78" s="34" t="str">
        <f t="shared" si="21"/>
        <v/>
      </c>
      <c r="AX78" s="34" t="str">
        <f t="shared" si="21"/>
        <v/>
      </c>
      <c r="AY78" s="34" t="str">
        <f t="shared" si="21"/>
        <v/>
      </c>
      <c r="AZ78" s="34" t="str">
        <f t="shared" si="21"/>
        <v/>
      </c>
      <c r="BA78" s="34"/>
      <c r="BB78" s="34"/>
      <c r="BC78" s="34" t="str">
        <f t="shared" si="17"/>
        <v/>
      </c>
      <c r="BD78" s="34" t="str">
        <f t="shared" si="17"/>
        <v/>
      </c>
      <c r="BE78" s="34" t="str">
        <f t="shared" si="17"/>
        <v/>
      </c>
      <c r="BF78" s="34" t="str">
        <f t="shared" si="17"/>
        <v/>
      </c>
      <c r="BG78" s="34" t="str">
        <f t="shared" si="17"/>
        <v/>
      </c>
      <c r="BH78" s="34"/>
      <c r="BI78" s="34"/>
      <c r="BJ78" s="34"/>
      <c r="BK78" s="34"/>
      <c r="BL78" s="34"/>
      <c r="BM78" s="34"/>
      <c r="BN78" s="34"/>
      <c r="BO78" s="34"/>
      <c r="BP78" s="34"/>
    </row>
    <row r="79" spans="2:68" outlineLevel="1" x14ac:dyDescent="0.25">
      <c r="B79" s="32">
        <f t="shared" si="22"/>
        <v>70</v>
      </c>
      <c r="C79" s="33" t="s">
        <v>5</v>
      </c>
      <c r="D79" s="34" t="s">
        <v>524</v>
      </c>
      <c r="E79" s="34"/>
      <c r="F79" s="40"/>
      <c r="G79" s="33">
        <v>1</v>
      </c>
      <c r="H79" s="35">
        <f t="shared" si="40"/>
        <v>46070</v>
      </c>
      <c r="I79" s="35" cm="1">
        <f t="array" ref="I79">IF(G79&lt;&gt;"",WORKDAY(Start,Duration-1),IF(Type="M",WORKDAY(Start,Duration-1),""))</f>
        <v>46070</v>
      </c>
      <c r="J79" s="44"/>
      <c r="K79" s="47" t="s">
        <v>415</v>
      </c>
      <c r="L79" s="34" t="s">
        <v>525</v>
      </c>
      <c r="M79" s="36" t="str">
        <f t="shared" si="39"/>
        <v/>
      </c>
      <c r="N79" s="34" t="str">
        <f t="shared" si="39"/>
        <v/>
      </c>
      <c r="O79" s="34" t="str">
        <f t="shared" si="39"/>
        <v/>
      </c>
      <c r="P79" s="34" t="str">
        <f t="shared" si="39"/>
        <v/>
      </c>
      <c r="Q79" s="34" t="str">
        <f t="shared" si="39"/>
        <v/>
      </c>
      <c r="R79" s="34"/>
      <c r="S79" s="34"/>
      <c r="T79" s="34" t="str">
        <f t="shared" si="19"/>
        <v/>
      </c>
      <c r="U79" s="34" t="str">
        <f t="shared" si="19"/>
        <v/>
      </c>
      <c r="V79" s="34" t="str">
        <f t="shared" si="19"/>
        <v/>
      </c>
      <c r="W79" s="34" t="str">
        <f t="shared" si="19"/>
        <v/>
      </c>
      <c r="X79" s="34" t="str">
        <f t="shared" si="19"/>
        <v/>
      </c>
      <c r="Y79" s="34"/>
      <c r="Z79" s="34"/>
      <c r="AA79" s="34" t="str">
        <f t="shared" ref="AA79:AB105" si="48">IF(AND(Type="M",Start=Date),"◆","")</f>
        <v/>
      </c>
      <c r="AB79" s="34" t="str">
        <f t="shared" si="48"/>
        <v/>
      </c>
      <c r="AC79" s="34" t="str">
        <f t="shared" si="47"/>
        <v/>
      </c>
      <c r="AD79" s="34" t="str">
        <f t="shared" si="47"/>
        <v/>
      </c>
      <c r="AE79" s="34" t="str">
        <f t="shared" si="47"/>
        <v/>
      </c>
      <c r="AF79" s="34"/>
      <c r="AG79" s="34"/>
      <c r="AH79" s="34" t="str">
        <f t="shared" si="18"/>
        <v/>
      </c>
      <c r="AI79" s="34" t="str">
        <f t="shared" si="18"/>
        <v/>
      </c>
      <c r="AJ79" s="34" t="str">
        <f t="shared" ref="AH79:AL105" si="49">IF(AND(Type="M",Start=Date),"◆","")</f>
        <v/>
      </c>
      <c r="AK79" s="34" t="str">
        <f t="shared" si="49"/>
        <v/>
      </c>
      <c r="AL79" s="34" t="str">
        <f t="shared" si="49"/>
        <v/>
      </c>
      <c r="AM79" s="34"/>
      <c r="AN79" s="34"/>
      <c r="AO79" s="34" t="str">
        <f t="shared" si="20"/>
        <v/>
      </c>
      <c r="AP79" s="34" t="str">
        <f t="shared" si="20"/>
        <v/>
      </c>
      <c r="AQ79" s="34" t="str">
        <f t="shared" si="20"/>
        <v/>
      </c>
      <c r="AR79" s="34" t="str">
        <f t="shared" si="20"/>
        <v/>
      </c>
      <c r="AS79" s="34" t="str">
        <f t="shared" si="20"/>
        <v/>
      </c>
      <c r="AT79" s="34"/>
      <c r="AU79" s="34"/>
      <c r="AV79" s="34" t="str">
        <f t="shared" si="21"/>
        <v/>
      </c>
      <c r="AW79" s="34" t="str">
        <f t="shared" si="21"/>
        <v/>
      </c>
      <c r="AX79" s="34" t="str">
        <f t="shared" si="21"/>
        <v/>
      </c>
      <c r="AY79" s="34" t="str">
        <f t="shared" si="21"/>
        <v/>
      </c>
      <c r="AZ79" s="34" t="str">
        <f t="shared" si="21"/>
        <v/>
      </c>
      <c r="BA79" s="34"/>
      <c r="BB79" s="34"/>
      <c r="BC79" s="34" t="str">
        <f t="shared" si="17"/>
        <v/>
      </c>
      <c r="BD79" s="34" t="str">
        <f t="shared" si="17"/>
        <v/>
      </c>
      <c r="BE79" s="34" t="str">
        <f t="shared" ref="BC79:BG105" si="50">IF(AND(Type="M",Start=Date),"◆","")</f>
        <v/>
      </c>
      <c r="BF79" s="34" t="str">
        <f t="shared" si="50"/>
        <v/>
      </c>
      <c r="BG79" s="34" t="str">
        <f t="shared" si="50"/>
        <v/>
      </c>
      <c r="BH79" s="34"/>
      <c r="BI79" s="34"/>
      <c r="BJ79" s="34"/>
      <c r="BK79" s="34"/>
      <c r="BL79" s="34"/>
      <c r="BM79" s="34"/>
      <c r="BN79" s="34"/>
      <c r="BO79" s="34"/>
      <c r="BP79" s="34"/>
    </row>
    <row r="80" spans="2:68" x14ac:dyDescent="0.25">
      <c r="B80" s="32">
        <f t="shared" si="22"/>
        <v>71</v>
      </c>
      <c r="C80" s="33" t="s">
        <v>1</v>
      </c>
      <c r="D80" s="37" t="s">
        <v>449</v>
      </c>
      <c r="E80" s="37"/>
      <c r="F80" s="41"/>
      <c r="G80" s="33">
        <f>SUM(G81,G87,G91)</f>
        <v>35</v>
      </c>
      <c r="H80" s="35">
        <f t="shared" si="40"/>
        <v>46071</v>
      </c>
      <c r="I80" s="35" cm="1">
        <f t="array" ref="I80">IF(G80&lt;&gt;"",WORKDAY(Start,Duration-1),IF(Type="M",WORKDAY(Start,Duration-1),""))</f>
        <v>46119</v>
      </c>
      <c r="J80" s="44">
        <f>(J81+J87+J91)/3</f>
        <v>0</v>
      </c>
      <c r="K80" s="47"/>
      <c r="L80" s="34"/>
      <c r="M80" s="36" t="str">
        <f t="shared" si="39"/>
        <v/>
      </c>
      <c r="N80" s="34" t="str">
        <f t="shared" si="39"/>
        <v/>
      </c>
      <c r="O80" s="34" t="str">
        <f t="shared" si="39"/>
        <v/>
      </c>
      <c r="P80" s="34" t="str">
        <f t="shared" si="39"/>
        <v/>
      </c>
      <c r="Q80" s="34" t="str">
        <f t="shared" si="39"/>
        <v/>
      </c>
      <c r="R80" s="34" t="str">
        <f t="shared" si="41"/>
        <v/>
      </c>
      <c r="S80" s="34" t="str">
        <f t="shared" si="41"/>
        <v/>
      </c>
      <c r="T80" s="34" t="str">
        <f t="shared" si="19"/>
        <v/>
      </c>
      <c r="U80" s="34" t="str">
        <f t="shared" si="19"/>
        <v/>
      </c>
      <c r="V80" s="34" t="str">
        <f t="shared" si="19"/>
        <v/>
      </c>
      <c r="W80" s="34" t="str">
        <f t="shared" si="19"/>
        <v/>
      </c>
      <c r="X80" s="34" t="str">
        <f t="shared" si="19"/>
        <v/>
      </c>
      <c r="Y80" s="34" t="str">
        <f t="shared" si="42"/>
        <v/>
      </c>
      <c r="Z80" s="34" t="str">
        <f t="shared" si="42"/>
        <v/>
      </c>
      <c r="AA80" s="34" t="str">
        <f t="shared" si="48"/>
        <v/>
      </c>
      <c r="AB80" s="34" t="str">
        <f t="shared" si="48"/>
        <v/>
      </c>
      <c r="AC80" s="34" t="str">
        <f t="shared" si="47"/>
        <v/>
      </c>
      <c r="AD80" s="34" t="str">
        <f t="shared" si="47"/>
        <v/>
      </c>
      <c r="AE80" s="34" t="str">
        <f t="shared" si="47"/>
        <v/>
      </c>
      <c r="AF80" s="34" t="str">
        <f t="shared" si="42"/>
        <v/>
      </c>
      <c r="AG80" s="34" t="str">
        <f t="shared" si="43"/>
        <v/>
      </c>
      <c r="AH80" s="34" t="str">
        <f t="shared" si="49"/>
        <v/>
      </c>
      <c r="AI80" s="34" t="str">
        <f t="shared" si="49"/>
        <v/>
      </c>
      <c r="AJ80" s="34" t="str">
        <f t="shared" si="49"/>
        <v/>
      </c>
      <c r="AK80" s="34" t="str">
        <f t="shared" si="49"/>
        <v/>
      </c>
      <c r="AL80" s="34" t="str">
        <f t="shared" si="49"/>
        <v/>
      </c>
      <c r="AM80" s="34" t="str">
        <f t="shared" si="43"/>
        <v/>
      </c>
      <c r="AN80" s="34" t="str">
        <f t="shared" si="43"/>
        <v/>
      </c>
      <c r="AO80" s="34" t="str">
        <f t="shared" si="20"/>
        <v/>
      </c>
      <c r="AP80" s="34" t="str">
        <f t="shared" si="20"/>
        <v/>
      </c>
      <c r="AQ80" s="34" t="str">
        <f t="shared" si="20"/>
        <v/>
      </c>
      <c r="AR80" s="34" t="str">
        <f t="shared" si="20"/>
        <v/>
      </c>
      <c r="AS80" s="34" t="str">
        <f t="shared" si="20"/>
        <v/>
      </c>
      <c r="AT80" s="34" t="str">
        <f t="shared" si="44"/>
        <v/>
      </c>
      <c r="AU80" s="34" t="str">
        <f t="shared" si="44"/>
        <v/>
      </c>
      <c r="AV80" s="34" t="str">
        <f t="shared" si="21"/>
        <v/>
      </c>
      <c r="AW80" s="34" t="str">
        <f t="shared" si="21"/>
        <v/>
      </c>
      <c r="AX80" s="34" t="str">
        <f t="shared" si="21"/>
        <v/>
      </c>
      <c r="AY80" s="34" t="str">
        <f t="shared" si="21"/>
        <v/>
      </c>
      <c r="AZ80" s="34" t="str">
        <f t="shared" si="21"/>
        <v/>
      </c>
      <c r="BA80" s="34" t="str">
        <f t="shared" si="45"/>
        <v/>
      </c>
      <c r="BB80" s="34" t="str">
        <f t="shared" si="45"/>
        <v/>
      </c>
      <c r="BC80" s="34" t="str">
        <f t="shared" si="50"/>
        <v/>
      </c>
      <c r="BD80" s="34" t="str">
        <f t="shared" si="50"/>
        <v/>
      </c>
      <c r="BE80" s="34" t="str">
        <f t="shared" si="50"/>
        <v/>
      </c>
      <c r="BF80" s="34" t="str">
        <f t="shared" si="50"/>
        <v/>
      </c>
      <c r="BG80" s="34" t="str">
        <f t="shared" si="50"/>
        <v/>
      </c>
      <c r="BH80" s="34" t="str">
        <f t="shared" si="45"/>
        <v/>
      </c>
      <c r="BI80" s="34" t="str">
        <f t="shared" si="45"/>
        <v/>
      </c>
      <c r="BJ80" s="34" t="str">
        <f t="shared" si="45"/>
        <v/>
      </c>
      <c r="BK80" s="34" t="str">
        <f t="shared" si="46"/>
        <v/>
      </c>
      <c r="BL80" s="34" t="str">
        <f t="shared" si="46"/>
        <v/>
      </c>
      <c r="BM80" s="34" t="str">
        <f t="shared" si="46"/>
        <v/>
      </c>
      <c r="BN80" s="34" t="str">
        <f t="shared" si="46"/>
        <v/>
      </c>
      <c r="BO80" s="34" t="str">
        <f t="shared" si="46"/>
        <v/>
      </c>
      <c r="BP80" s="34" t="str">
        <f t="shared" si="46"/>
        <v/>
      </c>
    </row>
    <row r="81" spans="2:68" outlineLevel="1" x14ac:dyDescent="0.25">
      <c r="B81" s="32">
        <f t="shared" si="22"/>
        <v>72</v>
      </c>
      <c r="C81" s="33" t="s">
        <v>1</v>
      </c>
      <c r="D81" s="37" t="s">
        <v>15</v>
      </c>
      <c r="E81" s="37"/>
      <c r="F81" s="41"/>
      <c r="G81" s="33">
        <f>SUM(G82:G86)</f>
        <v>18</v>
      </c>
      <c r="H81" s="35">
        <f>H80</f>
        <v>46071</v>
      </c>
      <c r="I81" s="35" cm="1">
        <f t="array" ref="I81">IF(G81&lt;&gt;"",WORKDAY(Start,Duration-1),IF(Type="M",WORKDAY(Start,Duration-1),""))</f>
        <v>46094</v>
      </c>
      <c r="J81" s="43" cm="1">
        <f t="array" ref="J81">SUM(J82:J86*G82:G86)/SUM(G82:G86)</f>
        <v>0</v>
      </c>
      <c r="K81" s="46"/>
      <c r="L81" s="34"/>
      <c r="M81" s="36" t="str">
        <f t="shared" si="39"/>
        <v/>
      </c>
      <c r="N81" s="34" t="str">
        <f t="shared" si="39"/>
        <v/>
      </c>
      <c r="O81" s="34" t="str">
        <f t="shared" si="39"/>
        <v/>
      </c>
      <c r="P81" s="34" t="str">
        <f t="shared" si="39"/>
        <v/>
      </c>
      <c r="Q81" s="34" t="str">
        <f t="shared" si="39"/>
        <v/>
      </c>
      <c r="R81" s="34" t="str">
        <f t="shared" si="41"/>
        <v/>
      </c>
      <c r="S81" s="34" t="str">
        <f t="shared" si="41"/>
        <v/>
      </c>
      <c r="T81" s="34" t="str">
        <f t="shared" si="19"/>
        <v/>
      </c>
      <c r="U81" s="34" t="str">
        <f t="shared" si="19"/>
        <v/>
      </c>
      <c r="V81" s="34" t="str">
        <f t="shared" si="19"/>
        <v/>
      </c>
      <c r="W81" s="34" t="str">
        <f t="shared" si="19"/>
        <v/>
      </c>
      <c r="X81" s="34" t="str">
        <f t="shared" si="19"/>
        <v/>
      </c>
      <c r="Y81" s="34" t="str">
        <f t="shared" si="42"/>
        <v/>
      </c>
      <c r="Z81" s="34" t="str">
        <f t="shared" si="42"/>
        <v/>
      </c>
      <c r="AA81" s="34" t="str">
        <f t="shared" si="48"/>
        <v/>
      </c>
      <c r="AB81" s="34" t="str">
        <f t="shared" si="48"/>
        <v/>
      </c>
      <c r="AC81" s="34" t="str">
        <f t="shared" si="47"/>
        <v/>
      </c>
      <c r="AD81" s="34" t="str">
        <f t="shared" si="47"/>
        <v/>
      </c>
      <c r="AE81" s="34" t="str">
        <f t="shared" si="47"/>
        <v/>
      </c>
      <c r="AF81" s="34" t="str">
        <f t="shared" si="42"/>
        <v/>
      </c>
      <c r="AG81" s="34" t="str">
        <f t="shared" si="43"/>
        <v/>
      </c>
      <c r="AH81" s="34" t="str">
        <f t="shared" si="49"/>
        <v/>
      </c>
      <c r="AI81" s="34" t="str">
        <f t="shared" si="49"/>
        <v/>
      </c>
      <c r="AJ81" s="34" t="str">
        <f t="shared" si="49"/>
        <v/>
      </c>
      <c r="AK81" s="34" t="str">
        <f t="shared" si="49"/>
        <v/>
      </c>
      <c r="AL81" s="34" t="str">
        <f t="shared" si="49"/>
        <v/>
      </c>
      <c r="AM81" s="34" t="str">
        <f t="shared" si="43"/>
        <v/>
      </c>
      <c r="AN81" s="34" t="str">
        <f t="shared" si="43"/>
        <v/>
      </c>
      <c r="AO81" s="34" t="str">
        <f t="shared" si="20"/>
        <v/>
      </c>
      <c r="AP81" s="34" t="str">
        <f t="shared" si="20"/>
        <v/>
      </c>
      <c r="AQ81" s="34" t="str">
        <f t="shared" si="20"/>
        <v/>
      </c>
      <c r="AR81" s="34" t="str">
        <f t="shared" si="20"/>
        <v/>
      </c>
      <c r="AS81" s="34" t="str">
        <f t="shared" si="20"/>
        <v/>
      </c>
      <c r="AT81" s="34" t="str">
        <f t="shared" si="44"/>
        <v/>
      </c>
      <c r="AU81" s="34" t="str">
        <f t="shared" si="44"/>
        <v/>
      </c>
      <c r="AV81" s="34" t="str">
        <f t="shared" si="21"/>
        <v/>
      </c>
      <c r="AW81" s="34" t="str">
        <f t="shared" si="21"/>
        <v/>
      </c>
      <c r="AX81" s="34" t="str">
        <f t="shared" si="21"/>
        <v/>
      </c>
      <c r="AY81" s="34" t="str">
        <f t="shared" si="21"/>
        <v/>
      </c>
      <c r="AZ81" s="34" t="str">
        <f t="shared" si="21"/>
        <v/>
      </c>
      <c r="BA81" s="34" t="str">
        <f t="shared" si="45"/>
        <v/>
      </c>
      <c r="BB81" s="34" t="str">
        <f t="shared" si="45"/>
        <v/>
      </c>
      <c r="BC81" s="34" t="str">
        <f t="shared" si="50"/>
        <v/>
      </c>
      <c r="BD81" s="34" t="str">
        <f t="shared" si="50"/>
        <v/>
      </c>
      <c r="BE81" s="34" t="str">
        <f t="shared" si="50"/>
        <v/>
      </c>
      <c r="BF81" s="34" t="str">
        <f t="shared" si="50"/>
        <v/>
      </c>
      <c r="BG81" s="34" t="str">
        <f t="shared" si="50"/>
        <v/>
      </c>
      <c r="BH81" s="34" t="str">
        <f t="shared" si="45"/>
        <v/>
      </c>
      <c r="BI81" s="34" t="str">
        <f t="shared" si="45"/>
        <v/>
      </c>
      <c r="BJ81" s="34" t="str">
        <f t="shared" si="45"/>
        <v/>
      </c>
      <c r="BK81" s="34" t="str">
        <f t="shared" si="46"/>
        <v/>
      </c>
      <c r="BL81" s="34" t="str">
        <f t="shared" si="46"/>
        <v/>
      </c>
      <c r="BM81" s="34" t="str">
        <f t="shared" si="46"/>
        <v/>
      </c>
      <c r="BN81" s="34" t="str">
        <f t="shared" si="46"/>
        <v/>
      </c>
      <c r="BO81" s="34" t="str">
        <f t="shared" si="46"/>
        <v/>
      </c>
      <c r="BP81" s="34" t="str">
        <f t="shared" si="46"/>
        <v/>
      </c>
    </row>
    <row r="82" spans="2:68" outlineLevel="2" x14ac:dyDescent="0.25">
      <c r="B82" s="32">
        <f t="shared" si="22"/>
        <v>73</v>
      </c>
      <c r="C82" s="33" t="s">
        <v>5</v>
      </c>
      <c r="D82" s="34" t="s">
        <v>16</v>
      </c>
      <c r="E82" s="34"/>
      <c r="F82" s="40"/>
      <c r="G82" s="33">
        <v>2</v>
      </c>
      <c r="H82" s="35">
        <f>H81</f>
        <v>46071</v>
      </c>
      <c r="I82" s="35" cm="1">
        <f t="array" ref="I82">IF(G82&lt;&gt;"",WORKDAY(Start,Duration-1),IF(Type="M",WORKDAY(Start,Duration-1),""))</f>
        <v>46072</v>
      </c>
      <c r="J82" s="44"/>
      <c r="K82" s="47" t="s">
        <v>97</v>
      </c>
      <c r="L82" s="34"/>
      <c r="M82" s="36" t="str">
        <f t="shared" si="39"/>
        <v/>
      </c>
      <c r="N82" s="34" t="str">
        <f t="shared" si="39"/>
        <v/>
      </c>
      <c r="O82" s="34" t="str">
        <f t="shared" si="39"/>
        <v/>
      </c>
      <c r="P82" s="34" t="str">
        <f t="shared" si="39"/>
        <v/>
      </c>
      <c r="Q82" s="34" t="str">
        <f t="shared" si="39"/>
        <v/>
      </c>
      <c r="R82" s="34" t="str">
        <f t="shared" si="41"/>
        <v/>
      </c>
      <c r="S82" s="34" t="str">
        <f t="shared" si="41"/>
        <v/>
      </c>
      <c r="T82" s="34" t="str">
        <f t="shared" si="19"/>
        <v/>
      </c>
      <c r="U82" s="34" t="str">
        <f t="shared" si="19"/>
        <v/>
      </c>
      <c r="V82" s="34" t="str">
        <f t="shared" si="19"/>
        <v/>
      </c>
      <c r="W82" s="34" t="str">
        <f t="shared" si="19"/>
        <v/>
      </c>
      <c r="X82" s="34" t="str">
        <f t="shared" si="19"/>
        <v/>
      </c>
      <c r="Y82" s="34" t="str">
        <f t="shared" si="42"/>
        <v/>
      </c>
      <c r="Z82" s="34" t="str">
        <f t="shared" si="42"/>
        <v/>
      </c>
      <c r="AA82" s="34" t="str">
        <f t="shared" si="48"/>
        <v/>
      </c>
      <c r="AB82" s="34" t="str">
        <f t="shared" si="48"/>
        <v/>
      </c>
      <c r="AC82" s="34" t="str">
        <f t="shared" si="47"/>
        <v/>
      </c>
      <c r="AD82" s="34" t="str">
        <f t="shared" si="47"/>
        <v/>
      </c>
      <c r="AE82" s="34" t="str">
        <f t="shared" si="47"/>
        <v/>
      </c>
      <c r="AF82" s="34" t="str">
        <f t="shared" si="42"/>
        <v/>
      </c>
      <c r="AG82" s="34" t="str">
        <f t="shared" si="43"/>
        <v/>
      </c>
      <c r="AH82" s="34" t="str">
        <f t="shared" si="49"/>
        <v/>
      </c>
      <c r="AI82" s="34" t="str">
        <f t="shared" si="49"/>
        <v/>
      </c>
      <c r="AJ82" s="34" t="str">
        <f t="shared" si="49"/>
        <v/>
      </c>
      <c r="AK82" s="34" t="str">
        <f t="shared" si="49"/>
        <v/>
      </c>
      <c r="AL82" s="34" t="str">
        <f t="shared" si="49"/>
        <v/>
      </c>
      <c r="AM82" s="34" t="str">
        <f t="shared" si="43"/>
        <v/>
      </c>
      <c r="AN82" s="34" t="str">
        <f t="shared" si="43"/>
        <v/>
      </c>
      <c r="AO82" s="34" t="str">
        <f t="shared" si="20"/>
        <v/>
      </c>
      <c r="AP82" s="34" t="str">
        <f t="shared" si="20"/>
        <v/>
      </c>
      <c r="AQ82" s="34" t="str">
        <f t="shared" si="20"/>
        <v/>
      </c>
      <c r="AR82" s="34" t="str">
        <f t="shared" si="20"/>
        <v/>
      </c>
      <c r="AS82" s="34" t="str">
        <f t="shared" si="20"/>
        <v/>
      </c>
      <c r="AT82" s="34" t="str">
        <f t="shared" si="44"/>
        <v/>
      </c>
      <c r="AU82" s="34" t="str">
        <f t="shared" si="44"/>
        <v/>
      </c>
      <c r="AV82" s="34" t="str">
        <f t="shared" si="21"/>
        <v/>
      </c>
      <c r="AW82" s="34" t="str">
        <f t="shared" si="21"/>
        <v/>
      </c>
      <c r="AX82" s="34" t="str">
        <f t="shared" si="21"/>
        <v/>
      </c>
      <c r="AY82" s="34" t="str">
        <f t="shared" si="21"/>
        <v/>
      </c>
      <c r="AZ82" s="34" t="str">
        <f t="shared" si="21"/>
        <v/>
      </c>
      <c r="BA82" s="34" t="str">
        <f t="shared" si="45"/>
        <v/>
      </c>
      <c r="BB82" s="34" t="str">
        <f t="shared" si="45"/>
        <v/>
      </c>
      <c r="BC82" s="34" t="str">
        <f t="shared" si="50"/>
        <v/>
      </c>
      <c r="BD82" s="34" t="str">
        <f t="shared" si="50"/>
        <v/>
      </c>
      <c r="BE82" s="34" t="str">
        <f t="shared" si="50"/>
        <v/>
      </c>
      <c r="BF82" s="34" t="str">
        <f t="shared" si="50"/>
        <v/>
      </c>
      <c r="BG82" s="34" t="str">
        <f t="shared" si="50"/>
        <v/>
      </c>
      <c r="BH82" s="34" t="str">
        <f t="shared" si="45"/>
        <v/>
      </c>
      <c r="BI82" s="34" t="str">
        <f t="shared" si="45"/>
        <v/>
      </c>
      <c r="BJ82" s="34" t="str">
        <f t="shared" si="45"/>
        <v/>
      </c>
      <c r="BK82" s="34" t="str">
        <f t="shared" si="46"/>
        <v/>
      </c>
      <c r="BL82" s="34" t="str">
        <f t="shared" si="46"/>
        <v/>
      </c>
      <c r="BM82" s="34" t="str">
        <f t="shared" si="46"/>
        <v/>
      </c>
      <c r="BN82" s="34" t="str">
        <f t="shared" si="46"/>
        <v/>
      </c>
      <c r="BO82" s="34" t="str">
        <f t="shared" si="46"/>
        <v/>
      </c>
      <c r="BP82" s="34" t="str">
        <f t="shared" si="46"/>
        <v/>
      </c>
    </row>
    <row r="83" spans="2:68" outlineLevel="2" x14ac:dyDescent="0.25">
      <c r="B83" s="32">
        <f t="shared" si="22"/>
        <v>74</v>
      </c>
      <c r="C83" s="33" t="s">
        <v>5</v>
      </c>
      <c r="D83" s="34" t="s">
        <v>17</v>
      </c>
      <c r="E83" s="34"/>
      <c r="F83" s="40"/>
      <c r="G83" s="33">
        <v>5</v>
      </c>
      <c r="H83" s="35">
        <f>IF(Type&lt;&gt;"M",WORKDAY(I82,1),I82)</f>
        <v>46073</v>
      </c>
      <c r="I83" s="35" cm="1">
        <f t="array" ref="I83">IF(G83&lt;&gt;"",WORKDAY(Start,Duration-1),IF(Type="M",WORKDAY(Start,Duration-1),""))</f>
        <v>46079</v>
      </c>
      <c r="J83" s="44"/>
      <c r="K83" s="47" t="s">
        <v>97</v>
      </c>
      <c r="L83" s="34"/>
      <c r="M83" s="36" t="str">
        <f t="shared" si="39"/>
        <v/>
      </c>
      <c r="N83" s="34" t="str">
        <f t="shared" si="39"/>
        <v/>
      </c>
      <c r="O83" s="34" t="str">
        <f t="shared" si="39"/>
        <v/>
      </c>
      <c r="P83" s="34" t="str">
        <f t="shared" si="39"/>
        <v/>
      </c>
      <c r="Q83" s="34" t="str">
        <f t="shared" si="39"/>
        <v/>
      </c>
      <c r="R83" s="34" t="str">
        <f t="shared" si="41"/>
        <v/>
      </c>
      <c r="S83" s="34" t="str">
        <f t="shared" si="41"/>
        <v/>
      </c>
      <c r="T83" s="34" t="str">
        <f t="shared" si="19"/>
        <v/>
      </c>
      <c r="U83" s="34" t="str">
        <f t="shared" si="19"/>
        <v/>
      </c>
      <c r="V83" s="34" t="str">
        <f t="shared" si="19"/>
        <v/>
      </c>
      <c r="W83" s="34" t="str">
        <f t="shared" si="19"/>
        <v/>
      </c>
      <c r="X83" s="34" t="str">
        <f t="shared" si="19"/>
        <v/>
      </c>
      <c r="Y83" s="34" t="str">
        <f t="shared" si="42"/>
        <v/>
      </c>
      <c r="Z83" s="34" t="str">
        <f t="shared" si="42"/>
        <v/>
      </c>
      <c r="AA83" s="34" t="str">
        <f t="shared" si="48"/>
        <v/>
      </c>
      <c r="AB83" s="34" t="str">
        <f t="shared" si="48"/>
        <v/>
      </c>
      <c r="AC83" s="34" t="str">
        <f t="shared" si="47"/>
        <v/>
      </c>
      <c r="AD83" s="34" t="str">
        <f t="shared" si="47"/>
        <v/>
      </c>
      <c r="AE83" s="34" t="str">
        <f t="shared" si="47"/>
        <v/>
      </c>
      <c r="AF83" s="34" t="str">
        <f t="shared" si="42"/>
        <v/>
      </c>
      <c r="AG83" s="34" t="str">
        <f t="shared" si="43"/>
        <v/>
      </c>
      <c r="AH83" s="34" t="str">
        <f t="shared" si="49"/>
        <v/>
      </c>
      <c r="AI83" s="34" t="str">
        <f t="shared" si="49"/>
        <v/>
      </c>
      <c r="AJ83" s="34" t="str">
        <f t="shared" si="49"/>
        <v/>
      </c>
      <c r="AK83" s="34" t="str">
        <f t="shared" si="49"/>
        <v/>
      </c>
      <c r="AL83" s="34" t="str">
        <f t="shared" si="49"/>
        <v/>
      </c>
      <c r="AM83" s="34" t="str">
        <f t="shared" si="43"/>
        <v/>
      </c>
      <c r="AN83" s="34" t="str">
        <f t="shared" si="43"/>
        <v/>
      </c>
      <c r="AO83" s="34" t="str">
        <f t="shared" si="20"/>
        <v/>
      </c>
      <c r="AP83" s="34" t="str">
        <f t="shared" si="20"/>
        <v/>
      </c>
      <c r="AQ83" s="34" t="str">
        <f t="shared" si="20"/>
        <v/>
      </c>
      <c r="AR83" s="34" t="str">
        <f t="shared" si="20"/>
        <v/>
      </c>
      <c r="AS83" s="34" t="str">
        <f t="shared" si="20"/>
        <v/>
      </c>
      <c r="AT83" s="34" t="str">
        <f t="shared" si="44"/>
        <v/>
      </c>
      <c r="AU83" s="34" t="str">
        <f t="shared" si="44"/>
        <v/>
      </c>
      <c r="AV83" s="34" t="str">
        <f t="shared" si="21"/>
        <v/>
      </c>
      <c r="AW83" s="34" t="str">
        <f t="shared" si="21"/>
        <v/>
      </c>
      <c r="AX83" s="34" t="str">
        <f t="shared" si="21"/>
        <v/>
      </c>
      <c r="AY83" s="34" t="str">
        <f t="shared" si="21"/>
        <v/>
      </c>
      <c r="AZ83" s="34" t="str">
        <f t="shared" si="21"/>
        <v/>
      </c>
      <c r="BA83" s="34" t="str">
        <f t="shared" si="45"/>
        <v/>
      </c>
      <c r="BB83" s="34" t="str">
        <f t="shared" si="45"/>
        <v/>
      </c>
      <c r="BC83" s="34" t="str">
        <f t="shared" si="50"/>
        <v/>
      </c>
      <c r="BD83" s="34" t="str">
        <f t="shared" si="50"/>
        <v/>
      </c>
      <c r="BE83" s="34" t="str">
        <f t="shared" si="50"/>
        <v/>
      </c>
      <c r="BF83" s="34" t="str">
        <f t="shared" si="50"/>
        <v/>
      </c>
      <c r="BG83" s="34" t="str">
        <f t="shared" si="50"/>
        <v/>
      </c>
      <c r="BH83" s="34" t="str">
        <f t="shared" si="45"/>
        <v/>
      </c>
      <c r="BI83" s="34" t="str">
        <f t="shared" si="45"/>
        <v/>
      </c>
      <c r="BJ83" s="34" t="str">
        <f t="shared" si="45"/>
        <v/>
      </c>
      <c r="BK83" s="34" t="str">
        <f t="shared" si="46"/>
        <v/>
      </c>
      <c r="BL83" s="34" t="str">
        <f t="shared" si="46"/>
        <v/>
      </c>
      <c r="BM83" s="34" t="str">
        <f t="shared" si="46"/>
        <v/>
      </c>
      <c r="BN83" s="34" t="str">
        <f t="shared" si="46"/>
        <v/>
      </c>
      <c r="BO83" s="34" t="str">
        <f t="shared" si="46"/>
        <v/>
      </c>
      <c r="BP83" s="34" t="str">
        <f t="shared" si="46"/>
        <v/>
      </c>
    </row>
    <row r="84" spans="2:68" outlineLevel="2" x14ac:dyDescent="0.25">
      <c r="B84" s="32">
        <f t="shared" si="22"/>
        <v>75</v>
      </c>
      <c r="C84" s="33" t="s">
        <v>5</v>
      </c>
      <c r="D84" s="34" t="s">
        <v>18</v>
      </c>
      <c r="E84" s="34"/>
      <c r="F84" s="40"/>
      <c r="G84" s="33">
        <v>5</v>
      </c>
      <c r="H84" s="35">
        <f>IF(Type&lt;&gt;"M",WORKDAY(I83,1),I83)</f>
        <v>46080</v>
      </c>
      <c r="I84" s="35" cm="1">
        <f t="array" ref="I84">IF(G84&lt;&gt;"",WORKDAY(Start,Duration-1),IF(Type="M",WORKDAY(Start,Duration-1),""))</f>
        <v>46086</v>
      </c>
      <c r="J84" s="44"/>
      <c r="K84" s="47" t="s">
        <v>97</v>
      </c>
      <c r="L84" s="34"/>
      <c r="M84" s="36" t="str">
        <f t="shared" si="39"/>
        <v/>
      </c>
      <c r="N84" s="34" t="str">
        <f t="shared" si="39"/>
        <v/>
      </c>
      <c r="O84" s="34" t="str">
        <f t="shared" si="39"/>
        <v/>
      </c>
      <c r="P84" s="34" t="str">
        <f t="shared" si="39"/>
        <v/>
      </c>
      <c r="Q84" s="34" t="str">
        <f t="shared" si="39"/>
        <v/>
      </c>
      <c r="R84" s="34" t="str">
        <f t="shared" si="41"/>
        <v/>
      </c>
      <c r="S84" s="34" t="str">
        <f t="shared" si="41"/>
        <v/>
      </c>
      <c r="T84" s="34" t="str">
        <f t="shared" si="41"/>
        <v/>
      </c>
      <c r="U84" s="34" t="str">
        <f t="shared" si="41"/>
        <v/>
      </c>
      <c r="V84" s="34" t="str">
        <f t="shared" si="41"/>
        <v/>
      </c>
      <c r="W84" s="34" t="str">
        <f t="shared" si="41"/>
        <v/>
      </c>
      <c r="X84" s="34" t="str">
        <f t="shared" si="41"/>
        <v/>
      </c>
      <c r="Y84" s="34" t="str">
        <f t="shared" si="42"/>
        <v/>
      </c>
      <c r="Z84" s="34" t="str">
        <f t="shared" si="42"/>
        <v/>
      </c>
      <c r="AA84" s="34" t="str">
        <f t="shared" si="48"/>
        <v/>
      </c>
      <c r="AB84" s="34" t="str">
        <f t="shared" si="48"/>
        <v/>
      </c>
      <c r="AC84" s="34" t="str">
        <f t="shared" si="47"/>
        <v/>
      </c>
      <c r="AD84" s="34" t="str">
        <f t="shared" si="47"/>
        <v/>
      </c>
      <c r="AE84" s="34" t="str">
        <f t="shared" si="47"/>
        <v/>
      </c>
      <c r="AF84" s="34" t="str">
        <f t="shared" si="42"/>
        <v/>
      </c>
      <c r="AG84" s="34" t="str">
        <f t="shared" si="43"/>
        <v/>
      </c>
      <c r="AH84" s="34" t="str">
        <f t="shared" si="49"/>
        <v/>
      </c>
      <c r="AI84" s="34" t="str">
        <f t="shared" si="49"/>
        <v/>
      </c>
      <c r="AJ84" s="34" t="str">
        <f t="shared" si="49"/>
        <v/>
      </c>
      <c r="AK84" s="34" t="str">
        <f t="shared" si="49"/>
        <v/>
      </c>
      <c r="AL84" s="34" t="str">
        <f t="shared" si="49"/>
        <v/>
      </c>
      <c r="AM84" s="34" t="str">
        <f t="shared" si="43"/>
        <v/>
      </c>
      <c r="AN84" s="34" t="str">
        <f t="shared" si="43"/>
        <v/>
      </c>
      <c r="AO84" s="34" t="str">
        <f t="shared" si="43"/>
        <v/>
      </c>
      <c r="AP84" s="34" t="str">
        <f t="shared" si="43"/>
        <v/>
      </c>
      <c r="AQ84" s="34" t="str">
        <f t="shared" si="43"/>
        <v/>
      </c>
      <c r="AR84" s="34" t="str">
        <f t="shared" si="43"/>
        <v/>
      </c>
      <c r="AS84" s="34" t="str">
        <f t="shared" si="43"/>
        <v/>
      </c>
      <c r="AT84" s="34" t="str">
        <f t="shared" si="44"/>
        <v/>
      </c>
      <c r="AU84" s="34" t="str">
        <f t="shared" si="44"/>
        <v/>
      </c>
      <c r="AV84" s="34" t="str">
        <f t="shared" si="44"/>
        <v/>
      </c>
      <c r="AW84" s="34" t="str">
        <f t="shared" si="44"/>
        <v/>
      </c>
      <c r="AX84" s="34" t="str">
        <f t="shared" si="44"/>
        <v/>
      </c>
      <c r="AY84" s="34" t="str">
        <f t="shared" si="44"/>
        <v/>
      </c>
      <c r="AZ84" s="34" t="str">
        <f t="shared" si="44"/>
        <v/>
      </c>
      <c r="BA84" s="34" t="str">
        <f t="shared" si="45"/>
        <v/>
      </c>
      <c r="BB84" s="34" t="str">
        <f t="shared" si="45"/>
        <v/>
      </c>
      <c r="BC84" s="34" t="str">
        <f t="shared" si="50"/>
        <v/>
      </c>
      <c r="BD84" s="34" t="str">
        <f t="shared" si="50"/>
        <v/>
      </c>
      <c r="BE84" s="34" t="str">
        <f t="shared" si="50"/>
        <v/>
      </c>
      <c r="BF84" s="34" t="str">
        <f t="shared" si="50"/>
        <v/>
      </c>
      <c r="BG84" s="34" t="str">
        <f t="shared" si="50"/>
        <v/>
      </c>
      <c r="BH84" s="34" t="str">
        <f t="shared" si="45"/>
        <v/>
      </c>
      <c r="BI84" s="34" t="str">
        <f t="shared" si="45"/>
        <v/>
      </c>
      <c r="BJ84" s="34" t="str">
        <f t="shared" si="45"/>
        <v/>
      </c>
      <c r="BK84" s="34" t="str">
        <f t="shared" si="46"/>
        <v/>
      </c>
      <c r="BL84" s="34" t="str">
        <f t="shared" si="46"/>
        <v/>
      </c>
      <c r="BM84" s="34" t="str">
        <f t="shared" si="46"/>
        <v/>
      </c>
      <c r="BN84" s="34" t="str">
        <f t="shared" si="46"/>
        <v/>
      </c>
      <c r="BO84" s="34" t="str">
        <f t="shared" si="46"/>
        <v/>
      </c>
      <c r="BP84" s="34" t="str">
        <f t="shared" si="46"/>
        <v/>
      </c>
    </row>
    <row r="85" spans="2:68" outlineLevel="2" x14ac:dyDescent="0.25">
      <c r="B85" s="32">
        <f t="shared" si="22"/>
        <v>76</v>
      </c>
      <c r="C85" s="33" t="s">
        <v>5</v>
      </c>
      <c r="D85" s="34" t="s">
        <v>20</v>
      </c>
      <c r="E85" s="34"/>
      <c r="F85" s="40"/>
      <c r="G85" s="33">
        <v>3</v>
      </c>
      <c r="H85" s="35">
        <f>IF(Type&lt;&gt;"M",WORKDAY(I84,1),I84)</f>
        <v>46087</v>
      </c>
      <c r="I85" s="35" cm="1">
        <f t="array" ref="I85">IF(G85&lt;&gt;"",WORKDAY(Start,Duration-1),IF(Type="M",WORKDAY(Start,Duration-1),""))</f>
        <v>46091</v>
      </c>
      <c r="J85" s="44"/>
      <c r="K85" s="47" t="s">
        <v>97</v>
      </c>
      <c r="L85" s="34"/>
      <c r="M85" s="36" t="str">
        <f t="shared" si="39"/>
        <v/>
      </c>
      <c r="N85" s="34" t="str">
        <f t="shared" si="39"/>
        <v/>
      </c>
      <c r="O85" s="34" t="str">
        <f t="shared" si="39"/>
        <v/>
      </c>
      <c r="P85" s="34" t="str">
        <f t="shared" si="39"/>
        <v/>
      </c>
      <c r="Q85" s="34" t="str">
        <f t="shared" si="39"/>
        <v/>
      </c>
      <c r="R85" s="34" t="str">
        <f t="shared" si="41"/>
        <v/>
      </c>
      <c r="S85" s="34" t="str">
        <f t="shared" si="41"/>
        <v/>
      </c>
      <c r="T85" s="34" t="str">
        <f t="shared" si="41"/>
        <v/>
      </c>
      <c r="U85" s="34" t="str">
        <f t="shared" si="41"/>
        <v/>
      </c>
      <c r="V85" s="34" t="str">
        <f t="shared" si="41"/>
        <v/>
      </c>
      <c r="W85" s="34" t="str">
        <f t="shared" si="41"/>
        <v/>
      </c>
      <c r="X85" s="34" t="str">
        <f t="shared" si="41"/>
        <v/>
      </c>
      <c r="Y85" s="34" t="str">
        <f t="shared" si="42"/>
        <v/>
      </c>
      <c r="Z85" s="34" t="str">
        <f t="shared" si="42"/>
        <v/>
      </c>
      <c r="AA85" s="34" t="str">
        <f t="shared" si="48"/>
        <v/>
      </c>
      <c r="AB85" s="34" t="str">
        <f t="shared" si="48"/>
        <v/>
      </c>
      <c r="AC85" s="34" t="str">
        <f t="shared" si="47"/>
        <v/>
      </c>
      <c r="AD85" s="34" t="str">
        <f t="shared" si="47"/>
        <v/>
      </c>
      <c r="AE85" s="34" t="str">
        <f t="shared" si="47"/>
        <v/>
      </c>
      <c r="AF85" s="34" t="str">
        <f t="shared" si="42"/>
        <v/>
      </c>
      <c r="AG85" s="34" t="str">
        <f t="shared" si="43"/>
        <v/>
      </c>
      <c r="AH85" s="34" t="str">
        <f t="shared" si="49"/>
        <v/>
      </c>
      <c r="AI85" s="34" t="str">
        <f t="shared" si="49"/>
        <v/>
      </c>
      <c r="AJ85" s="34" t="str">
        <f t="shared" si="49"/>
        <v/>
      </c>
      <c r="AK85" s="34" t="str">
        <f t="shared" si="49"/>
        <v/>
      </c>
      <c r="AL85" s="34" t="str">
        <f t="shared" si="49"/>
        <v/>
      </c>
      <c r="AM85" s="34" t="str">
        <f t="shared" si="43"/>
        <v/>
      </c>
      <c r="AN85" s="34" t="str">
        <f t="shared" si="43"/>
        <v/>
      </c>
      <c r="AO85" s="34" t="str">
        <f t="shared" si="43"/>
        <v/>
      </c>
      <c r="AP85" s="34" t="str">
        <f t="shared" si="43"/>
        <v/>
      </c>
      <c r="AQ85" s="34" t="str">
        <f t="shared" si="43"/>
        <v/>
      </c>
      <c r="AR85" s="34" t="str">
        <f t="shared" si="43"/>
        <v/>
      </c>
      <c r="AS85" s="34" t="str">
        <f t="shared" si="43"/>
        <v/>
      </c>
      <c r="AT85" s="34" t="str">
        <f t="shared" si="44"/>
        <v/>
      </c>
      <c r="AU85" s="34" t="str">
        <f t="shared" si="44"/>
        <v/>
      </c>
      <c r="AV85" s="34" t="str">
        <f t="shared" si="44"/>
        <v/>
      </c>
      <c r="AW85" s="34" t="str">
        <f t="shared" si="44"/>
        <v/>
      </c>
      <c r="AX85" s="34" t="str">
        <f t="shared" si="44"/>
        <v/>
      </c>
      <c r="AY85" s="34" t="str">
        <f t="shared" si="44"/>
        <v/>
      </c>
      <c r="AZ85" s="34" t="str">
        <f t="shared" si="44"/>
        <v/>
      </c>
      <c r="BA85" s="34" t="str">
        <f t="shared" si="45"/>
        <v/>
      </c>
      <c r="BB85" s="34" t="str">
        <f t="shared" si="45"/>
        <v/>
      </c>
      <c r="BC85" s="34" t="str">
        <f t="shared" si="50"/>
        <v/>
      </c>
      <c r="BD85" s="34" t="str">
        <f t="shared" si="50"/>
        <v/>
      </c>
      <c r="BE85" s="34" t="str">
        <f t="shared" si="50"/>
        <v/>
      </c>
      <c r="BF85" s="34" t="str">
        <f t="shared" si="50"/>
        <v/>
      </c>
      <c r="BG85" s="34" t="str">
        <f t="shared" si="50"/>
        <v/>
      </c>
      <c r="BH85" s="34" t="str">
        <f t="shared" si="45"/>
        <v/>
      </c>
      <c r="BI85" s="34" t="str">
        <f t="shared" si="45"/>
        <v/>
      </c>
      <c r="BJ85" s="34" t="str">
        <f t="shared" si="45"/>
        <v/>
      </c>
      <c r="BK85" s="34" t="str">
        <f t="shared" si="46"/>
        <v/>
      </c>
      <c r="BL85" s="34" t="str">
        <f t="shared" si="46"/>
        <v/>
      </c>
      <c r="BM85" s="34" t="str">
        <f t="shared" si="46"/>
        <v/>
      </c>
      <c r="BN85" s="34" t="str">
        <f t="shared" si="46"/>
        <v/>
      </c>
      <c r="BO85" s="34" t="str">
        <f t="shared" si="46"/>
        <v/>
      </c>
      <c r="BP85" s="34" t="str">
        <f t="shared" si="46"/>
        <v/>
      </c>
    </row>
    <row r="86" spans="2:68" outlineLevel="2" x14ac:dyDescent="0.25">
      <c r="B86" s="32">
        <f t="shared" si="22"/>
        <v>77</v>
      </c>
      <c r="C86" s="33" t="s">
        <v>5</v>
      </c>
      <c r="D86" s="34" t="s">
        <v>378</v>
      </c>
      <c r="E86" s="34"/>
      <c r="F86" s="40"/>
      <c r="G86" s="33">
        <v>3</v>
      </c>
      <c r="H86" s="35">
        <f>IF(Type&lt;&gt;"M",WORKDAY(I85,1),I85)</f>
        <v>46092</v>
      </c>
      <c r="I86" s="35" cm="1">
        <f t="array" ref="I86">IF(G86&lt;&gt;"",WORKDAY(Start,Duration-1),IF(Type="M",WORKDAY(Start,Duration-1),""))</f>
        <v>46094</v>
      </c>
      <c r="J86" s="44"/>
      <c r="K86" s="46" t="s">
        <v>97</v>
      </c>
      <c r="L86" s="34"/>
      <c r="M86" s="36" t="str">
        <f t="shared" si="39"/>
        <v/>
      </c>
      <c r="N86" s="34" t="str">
        <f t="shared" si="39"/>
        <v/>
      </c>
      <c r="O86" s="34" t="str">
        <f t="shared" si="39"/>
        <v/>
      </c>
      <c r="P86" s="34" t="str">
        <f t="shared" si="39"/>
        <v/>
      </c>
      <c r="Q86" s="34" t="str">
        <f t="shared" si="39"/>
        <v/>
      </c>
      <c r="R86" s="34"/>
      <c r="S86" s="34"/>
      <c r="T86" s="34" t="str">
        <f t="shared" si="41"/>
        <v/>
      </c>
      <c r="U86" s="34" t="str">
        <f t="shared" si="41"/>
        <v/>
      </c>
      <c r="V86" s="34" t="str">
        <f t="shared" si="41"/>
        <v/>
      </c>
      <c r="W86" s="34" t="str">
        <f t="shared" si="41"/>
        <v/>
      </c>
      <c r="X86" s="34" t="str">
        <f t="shared" si="41"/>
        <v/>
      </c>
      <c r="Y86" s="34"/>
      <c r="Z86" s="34"/>
      <c r="AA86" s="34" t="str">
        <f t="shared" si="48"/>
        <v/>
      </c>
      <c r="AB86" s="34" t="str">
        <f t="shared" si="48"/>
        <v/>
      </c>
      <c r="AC86" s="34" t="str">
        <f t="shared" si="47"/>
        <v/>
      </c>
      <c r="AD86" s="34" t="str">
        <f t="shared" si="47"/>
        <v/>
      </c>
      <c r="AE86" s="34" t="str">
        <f t="shared" si="47"/>
        <v/>
      </c>
      <c r="AF86" s="34"/>
      <c r="AG86" s="34"/>
      <c r="AH86" s="34" t="str">
        <f t="shared" si="49"/>
        <v/>
      </c>
      <c r="AI86" s="34" t="str">
        <f t="shared" si="49"/>
        <v/>
      </c>
      <c r="AJ86" s="34" t="str">
        <f t="shared" si="49"/>
        <v/>
      </c>
      <c r="AK86" s="34" t="str">
        <f t="shared" si="49"/>
        <v/>
      </c>
      <c r="AL86" s="34" t="str">
        <f t="shared" si="49"/>
        <v/>
      </c>
      <c r="AM86" s="34"/>
      <c r="AN86" s="34"/>
      <c r="AO86" s="34" t="str">
        <f t="shared" si="43"/>
        <v/>
      </c>
      <c r="AP86" s="34" t="str">
        <f t="shared" si="43"/>
        <v/>
      </c>
      <c r="AQ86" s="34" t="str">
        <f t="shared" si="43"/>
        <v/>
      </c>
      <c r="AR86" s="34" t="str">
        <f t="shared" si="43"/>
        <v/>
      </c>
      <c r="AS86" s="34" t="str">
        <f t="shared" si="43"/>
        <v/>
      </c>
      <c r="AT86" s="34"/>
      <c r="AU86" s="34"/>
      <c r="AV86" s="34" t="str">
        <f t="shared" si="44"/>
        <v/>
      </c>
      <c r="AW86" s="34" t="str">
        <f t="shared" si="44"/>
        <v/>
      </c>
      <c r="AX86" s="34" t="str">
        <f t="shared" si="44"/>
        <v/>
      </c>
      <c r="AY86" s="34" t="str">
        <f t="shared" si="44"/>
        <v/>
      </c>
      <c r="AZ86" s="34" t="str">
        <f t="shared" si="44"/>
        <v/>
      </c>
      <c r="BA86" s="34"/>
      <c r="BB86" s="34"/>
      <c r="BC86" s="34" t="str">
        <f t="shared" si="50"/>
        <v/>
      </c>
      <c r="BD86" s="34" t="str">
        <f t="shared" si="50"/>
        <v/>
      </c>
      <c r="BE86" s="34" t="str">
        <f t="shared" si="50"/>
        <v/>
      </c>
      <c r="BF86" s="34" t="str">
        <f t="shared" si="50"/>
        <v/>
      </c>
      <c r="BG86" s="34" t="str">
        <f t="shared" si="50"/>
        <v/>
      </c>
      <c r="BH86" s="34"/>
      <c r="BI86" s="34"/>
      <c r="BJ86" s="34"/>
      <c r="BK86" s="34"/>
      <c r="BL86" s="34"/>
      <c r="BM86" s="34"/>
      <c r="BN86" s="34"/>
      <c r="BO86" s="34"/>
      <c r="BP86" s="34"/>
    </row>
    <row r="87" spans="2:68" outlineLevel="1" x14ac:dyDescent="0.25">
      <c r="B87" s="32">
        <f t="shared" si="22"/>
        <v>78</v>
      </c>
      <c r="C87" s="33" t="s">
        <v>1</v>
      </c>
      <c r="D87" s="37" t="s">
        <v>19</v>
      </c>
      <c r="E87" s="37"/>
      <c r="F87" s="41"/>
      <c r="G87" s="33">
        <f>SUM(G88:G90)</f>
        <v>10</v>
      </c>
      <c r="H87" s="35">
        <f>IF(Type&lt;&gt;"M",WORKDAY(I86,1),I86)</f>
        <v>46097</v>
      </c>
      <c r="I87" s="35" cm="1">
        <f t="array" ref="I87">IF(G87&lt;&gt;"",WORKDAY(Start,Duration-1),IF(Type="M",WORKDAY(Start,Duration-1),""))</f>
        <v>46108</v>
      </c>
      <c r="J87" s="43" cm="1">
        <f t="array" ref="J87">SUM(J88:J90*G88:G90)/SUM(G88:G90)</f>
        <v>0</v>
      </c>
      <c r="K87" s="46"/>
      <c r="L87" s="34"/>
      <c r="M87" s="36" t="str">
        <f t="shared" si="39"/>
        <v/>
      </c>
      <c r="N87" s="34" t="str">
        <f t="shared" si="39"/>
        <v/>
      </c>
      <c r="O87" s="34" t="str">
        <f t="shared" si="39"/>
        <v/>
      </c>
      <c r="P87" s="34" t="str">
        <f t="shared" si="39"/>
        <v/>
      </c>
      <c r="Q87" s="34" t="str">
        <f t="shared" si="39"/>
        <v/>
      </c>
      <c r="R87" s="34" t="str">
        <f t="shared" si="41"/>
        <v/>
      </c>
      <c r="S87" s="34" t="str">
        <f t="shared" si="41"/>
        <v/>
      </c>
      <c r="T87" s="34" t="str">
        <f t="shared" si="41"/>
        <v/>
      </c>
      <c r="U87" s="34" t="str">
        <f t="shared" si="41"/>
        <v/>
      </c>
      <c r="V87" s="34" t="str">
        <f t="shared" si="41"/>
        <v/>
      </c>
      <c r="W87" s="34" t="str">
        <f t="shared" si="41"/>
        <v/>
      </c>
      <c r="X87" s="34" t="str">
        <f t="shared" si="41"/>
        <v/>
      </c>
      <c r="Y87" s="34" t="str">
        <f t="shared" si="42"/>
        <v/>
      </c>
      <c r="Z87" s="34" t="str">
        <f t="shared" si="42"/>
        <v/>
      </c>
      <c r="AA87" s="34" t="str">
        <f t="shared" si="48"/>
        <v/>
      </c>
      <c r="AB87" s="34" t="str">
        <f t="shared" si="48"/>
        <v/>
      </c>
      <c r="AC87" s="34" t="str">
        <f t="shared" si="47"/>
        <v/>
      </c>
      <c r="AD87" s="34" t="str">
        <f t="shared" si="47"/>
        <v/>
      </c>
      <c r="AE87" s="34" t="str">
        <f t="shared" si="47"/>
        <v/>
      </c>
      <c r="AF87" s="34" t="str">
        <f t="shared" si="42"/>
        <v/>
      </c>
      <c r="AG87" s="34" t="str">
        <f t="shared" si="43"/>
        <v/>
      </c>
      <c r="AH87" s="34" t="str">
        <f t="shared" si="49"/>
        <v/>
      </c>
      <c r="AI87" s="34" t="str">
        <f t="shared" si="49"/>
        <v/>
      </c>
      <c r="AJ87" s="34" t="str">
        <f t="shared" si="49"/>
        <v/>
      </c>
      <c r="AK87" s="34" t="str">
        <f t="shared" si="49"/>
        <v/>
      </c>
      <c r="AL87" s="34" t="str">
        <f t="shared" si="49"/>
        <v/>
      </c>
      <c r="AM87" s="34" t="str">
        <f t="shared" si="43"/>
        <v/>
      </c>
      <c r="AN87" s="34" t="str">
        <f t="shared" si="43"/>
        <v/>
      </c>
      <c r="AO87" s="34" t="str">
        <f t="shared" si="43"/>
        <v/>
      </c>
      <c r="AP87" s="34" t="str">
        <f t="shared" si="43"/>
        <v/>
      </c>
      <c r="AQ87" s="34" t="str">
        <f t="shared" si="43"/>
        <v/>
      </c>
      <c r="AR87" s="34" t="str">
        <f t="shared" si="43"/>
        <v/>
      </c>
      <c r="AS87" s="34" t="str">
        <f t="shared" si="43"/>
        <v/>
      </c>
      <c r="AT87" s="34" t="str">
        <f t="shared" si="44"/>
        <v/>
      </c>
      <c r="AU87" s="34" t="str">
        <f t="shared" si="44"/>
        <v/>
      </c>
      <c r="AV87" s="34" t="str">
        <f t="shared" si="44"/>
        <v/>
      </c>
      <c r="AW87" s="34" t="str">
        <f t="shared" si="44"/>
        <v/>
      </c>
      <c r="AX87" s="34" t="str">
        <f t="shared" si="44"/>
        <v/>
      </c>
      <c r="AY87" s="34" t="str">
        <f t="shared" si="44"/>
        <v/>
      </c>
      <c r="AZ87" s="34" t="str">
        <f t="shared" si="44"/>
        <v/>
      </c>
      <c r="BA87" s="34" t="str">
        <f t="shared" si="45"/>
        <v/>
      </c>
      <c r="BB87" s="34" t="str">
        <f t="shared" si="45"/>
        <v/>
      </c>
      <c r="BC87" s="34" t="str">
        <f t="shared" si="50"/>
        <v/>
      </c>
      <c r="BD87" s="34" t="str">
        <f t="shared" si="50"/>
        <v/>
      </c>
      <c r="BE87" s="34" t="str">
        <f t="shared" si="50"/>
        <v/>
      </c>
      <c r="BF87" s="34" t="str">
        <f t="shared" si="50"/>
        <v/>
      </c>
      <c r="BG87" s="34" t="str">
        <f t="shared" si="50"/>
        <v/>
      </c>
      <c r="BH87" s="34" t="str">
        <f t="shared" si="45"/>
        <v/>
      </c>
      <c r="BI87" s="34" t="str">
        <f t="shared" si="45"/>
        <v/>
      </c>
      <c r="BJ87" s="34" t="str">
        <f t="shared" si="45"/>
        <v/>
      </c>
      <c r="BK87" s="34" t="str">
        <f t="shared" si="46"/>
        <v/>
      </c>
      <c r="BL87" s="34" t="str">
        <f t="shared" si="46"/>
        <v/>
      </c>
      <c r="BM87" s="34" t="str">
        <f t="shared" si="46"/>
        <v/>
      </c>
      <c r="BN87" s="34" t="str">
        <f t="shared" si="46"/>
        <v/>
      </c>
      <c r="BO87" s="34" t="str">
        <f t="shared" si="46"/>
        <v/>
      </c>
      <c r="BP87" s="34" t="str">
        <f t="shared" si="46"/>
        <v/>
      </c>
    </row>
    <row r="88" spans="2:68" outlineLevel="2" x14ac:dyDescent="0.25">
      <c r="B88" s="32">
        <f t="shared" si="22"/>
        <v>79</v>
      </c>
      <c r="C88" s="33" t="s">
        <v>5</v>
      </c>
      <c r="D88" s="34" t="s">
        <v>21</v>
      </c>
      <c r="E88" s="34"/>
      <c r="F88" s="40"/>
      <c r="G88" s="33">
        <v>3</v>
      </c>
      <c r="H88" s="35">
        <f>H87</f>
        <v>46097</v>
      </c>
      <c r="I88" s="35" cm="1">
        <f t="array" ref="I88">IF(G88&lt;&gt;"",WORKDAY(Start,Duration-1),IF(Type="M",WORKDAY(Start,Duration-1),""))</f>
        <v>46099</v>
      </c>
      <c r="J88" s="44"/>
      <c r="K88" s="47" t="s">
        <v>97</v>
      </c>
      <c r="L88" s="34"/>
      <c r="M88" s="36" t="str">
        <f t="shared" si="39"/>
        <v/>
      </c>
      <c r="N88" s="34" t="str">
        <f t="shared" si="39"/>
        <v/>
      </c>
      <c r="O88" s="34" t="str">
        <f t="shared" si="39"/>
        <v/>
      </c>
      <c r="P88" s="34" t="str">
        <f t="shared" si="39"/>
        <v/>
      </c>
      <c r="Q88" s="34" t="str">
        <f t="shared" si="39"/>
        <v/>
      </c>
      <c r="R88" s="34" t="str">
        <f t="shared" si="41"/>
        <v/>
      </c>
      <c r="S88" s="34" t="str">
        <f t="shared" si="41"/>
        <v/>
      </c>
      <c r="T88" s="34" t="str">
        <f t="shared" si="41"/>
        <v/>
      </c>
      <c r="U88" s="34" t="str">
        <f t="shared" si="41"/>
        <v/>
      </c>
      <c r="V88" s="34" t="str">
        <f t="shared" si="41"/>
        <v/>
      </c>
      <c r="W88" s="34" t="str">
        <f t="shared" si="41"/>
        <v/>
      </c>
      <c r="X88" s="34" t="str">
        <f t="shared" si="41"/>
        <v/>
      </c>
      <c r="Y88" s="34" t="str">
        <f t="shared" si="42"/>
        <v/>
      </c>
      <c r="Z88" s="34" t="str">
        <f t="shared" si="42"/>
        <v/>
      </c>
      <c r="AA88" s="34" t="str">
        <f t="shared" si="48"/>
        <v/>
      </c>
      <c r="AB88" s="34" t="str">
        <f t="shared" si="48"/>
        <v/>
      </c>
      <c r="AC88" s="34" t="str">
        <f t="shared" si="47"/>
        <v/>
      </c>
      <c r="AD88" s="34" t="str">
        <f t="shared" si="47"/>
        <v/>
      </c>
      <c r="AE88" s="34" t="str">
        <f t="shared" si="47"/>
        <v/>
      </c>
      <c r="AF88" s="34" t="str">
        <f t="shared" si="42"/>
        <v/>
      </c>
      <c r="AG88" s="34" t="str">
        <f t="shared" si="43"/>
        <v/>
      </c>
      <c r="AH88" s="34" t="str">
        <f t="shared" si="49"/>
        <v/>
      </c>
      <c r="AI88" s="34" t="str">
        <f t="shared" si="49"/>
        <v/>
      </c>
      <c r="AJ88" s="34" t="str">
        <f t="shared" si="49"/>
        <v/>
      </c>
      <c r="AK88" s="34" t="str">
        <f t="shared" si="49"/>
        <v/>
      </c>
      <c r="AL88" s="34" t="str">
        <f t="shared" si="49"/>
        <v/>
      </c>
      <c r="AM88" s="34" t="str">
        <f t="shared" si="43"/>
        <v/>
      </c>
      <c r="AN88" s="34" t="str">
        <f t="shared" si="43"/>
        <v/>
      </c>
      <c r="AO88" s="34" t="str">
        <f t="shared" si="43"/>
        <v/>
      </c>
      <c r="AP88" s="34" t="str">
        <f t="shared" si="43"/>
        <v/>
      </c>
      <c r="AQ88" s="34" t="str">
        <f t="shared" si="43"/>
        <v/>
      </c>
      <c r="AR88" s="34" t="str">
        <f t="shared" si="43"/>
        <v/>
      </c>
      <c r="AS88" s="34" t="str">
        <f t="shared" si="43"/>
        <v/>
      </c>
      <c r="AT88" s="34" t="str">
        <f t="shared" si="44"/>
        <v/>
      </c>
      <c r="AU88" s="34" t="str">
        <f t="shared" si="44"/>
        <v/>
      </c>
      <c r="AV88" s="34" t="str">
        <f t="shared" si="44"/>
        <v/>
      </c>
      <c r="AW88" s="34" t="str">
        <f t="shared" si="44"/>
        <v/>
      </c>
      <c r="AX88" s="34" t="str">
        <f t="shared" si="44"/>
        <v/>
      </c>
      <c r="AY88" s="34" t="str">
        <f t="shared" si="44"/>
        <v/>
      </c>
      <c r="AZ88" s="34" t="str">
        <f t="shared" si="44"/>
        <v/>
      </c>
      <c r="BA88" s="34" t="str">
        <f t="shared" si="45"/>
        <v/>
      </c>
      <c r="BB88" s="34" t="str">
        <f t="shared" si="45"/>
        <v/>
      </c>
      <c r="BC88" s="34" t="str">
        <f t="shared" si="50"/>
        <v/>
      </c>
      <c r="BD88" s="34" t="str">
        <f t="shared" si="50"/>
        <v/>
      </c>
      <c r="BE88" s="34" t="str">
        <f t="shared" si="50"/>
        <v/>
      </c>
      <c r="BF88" s="34" t="str">
        <f t="shared" si="50"/>
        <v/>
      </c>
      <c r="BG88" s="34" t="str">
        <f t="shared" si="50"/>
        <v/>
      </c>
      <c r="BH88" s="34" t="str">
        <f t="shared" si="45"/>
        <v/>
      </c>
      <c r="BI88" s="34" t="str">
        <f t="shared" si="45"/>
        <v/>
      </c>
      <c r="BJ88" s="34" t="str">
        <f t="shared" si="45"/>
        <v/>
      </c>
      <c r="BK88" s="34" t="str">
        <f t="shared" si="46"/>
        <v/>
      </c>
      <c r="BL88" s="34" t="str">
        <f t="shared" si="46"/>
        <v/>
      </c>
      <c r="BM88" s="34" t="str">
        <f t="shared" si="46"/>
        <v/>
      </c>
      <c r="BN88" s="34" t="str">
        <f t="shared" si="46"/>
        <v/>
      </c>
      <c r="BO88" s="34" t="str">
        <f t="shared" si="46"/>
        <v/>
      </c>
      <c r="BP88" s="34" t="str">
        <f t="shared" si="46"/>
        <v/>
      </c>
    </row>
    <row r="89" spans="2:68" outlineLevel="2" x14ac:dyDescent="0.25">
      <c r="B89" s="32">
        <f t="shared" si="22"/>
        <v>80</v>
      </c>
      <c r="C89" s="33" t="s">
        <v>5</v>
      </c>
      <c r="D89" s="34" t="s">
        <v>22</v>
      </c>
      <c r="E89" s="34"/>
      <c r="F89" s="40"/>
      <c r="G89" s="33">
        <v>3</v>
      </c>
      <c r="H89" s="35">
        <f>IF(Type&lt;&gt;"M",WORKDAY(I88,1),I88)</f>
        <v>46100</v>
      </c>
      <c r="I89" s="35" cm="1">
        <f t="array" ref="I89">IF(G89&lt;&gt;"",WORKDAY(Start,Duration-1),IF(Type="M",WORKDAY(Start,Duration-1),""))</f>
        <v>46104</v>
      </c>
      <c r="J89" s="44"/>
      <c r="K89" s="47" t="s">
        <v>97</v>
      </c>
      <c r="L89" s="34"/>
      <c r="M89" s="36" t="str">
        <f t="shared" si="39"/>
        <v/>
      </c>
      <c r="N89" s="34" t="str">
        <f t="shared" si="39"/>
        <v/>
      </c>
      <c r="O89" s="34" t="str">
        <f t="shared" si="39"/>
        <v/>
      </c>
      <c r="P89" s="34" t="str">
        <f t="shared" si="39"/>
        <v/>
      </c>
      <c r="Q89" s="34" t="str">
        <f t="shared" si="39"/>
        <v/>
      </c>
      <c r="R89" s="34" t="str">
        <f t="shared" ref="R89:X104" si="51">IF(AND(Type="M",Start=Date),"◆","")</f>
        <v/>
      </c>
      <c r="S89" s="34" t="str">
        <f t="shared" si="51"/>
        <v/>
      </c>
      <c r="T89" s="34" t="str">
        <f t="shared" si="41"/>
        <v/>
      </c>
      <c r="U89" s="34" t="str">
        <f t="shared" si="41"/>
        <v/>
      </c>
      <c r="V89" s="34" t="str">
        <f t="shared" si="41"/>
        <v/>
      </c>
      <c r="W89" s="34" t="str">
        <f t="shared" si="41"/>
        <v/>
      </c>
      <c r="X89" s="34" t="str">
        <f t="shared" si="41"/>
        <v/>
      </c>
      <c r="Y89" s="34" t="str">
        <f t="shared" ref="Y89:AF102" si="52">IF(AND(Type="M",Start=Date),"◆","")</f>
        <v/>
      </c>
      <c r="Z89" s="34" t="str">
        <f t="shared" si="52"/>
        <v/>
      </c>
      <c r="AA89" s="34" t="str">
        <f t="shared" si="48"/>
        <v/>
      </c>
      <c r="AB89" s="34" t="str">
        <f t="shared" si="48"/>
        <v/>
      </c>
      <c r="AC89" s="34" t="str">
        <f t="shared" si="47"/>
        <v/>
      </c>
      <c r="AD89" s="34" t="str">
        <f t="shared" si="47"/>
        <v/>
      </c>
      <c r="AE89" s="34" t="str">
        <f t="shared" si="47"/>
        <v/>
      </c>
      <c r="AF89" s="34" t="str">
        <f t="shared" si="52"/>
        <v/>
      </c>
      <c r="AG89" s="34" t="str">
        <f t="shared" ref="AG89:AS104" si="53">IF(AND(Type="M",Start=Date),"◆","")</f>
        <v/>
      </c>
      <c r="AH89" s="34" t="str">
        <f t="shared" si="49"/>
        <v/>
      </c>
      <c r="AI89" s="34" t="str">
        <f t="shared" si="49"/>
        <v/>
      </c>
      <c r="AJ89" s="34" t="str">
        <f t="shared" si="49"/>
        <v/>
      </c>
      <c r="AK89" s="34" t="str">
        <f t="shared" si="49"/>
        <v/>
      </c>
      <c r="AL89" s="34" t="str">
        <f t="shared" si="49"/>
        <v/>
      </c>
      <c r="AM89" s="34" t="str">
        <f t="shared" si="53"/>
        <v/>
      </c>
      <c r="AN89" s="34" t="str">
        <f t="shared" si="53"/>
        <v/>
      </c>
      <c r="AO89" s="34" t="str">
        <f t="shared" si="43"/>
        <v/>
      </c>
      <c r="AP89" s="34" t="str">
        <f t="shared" si="43"/>
        <v/>
      </c>
      <c r="AQ89" s="34" t="str">
        <f t="shared" si="43"/>
        <v/>
      </c>
      <c r="AR89" s="34" t="str">
        <f t="shared" si="43"/>
        <v/>
      </c>
      <c r="AS89" s="34" t="str">
        <f t="shared" si="43"/>
        <v/>
      </c>
      <c r="AT89" s="34" t="str">
        <f t="shared" ref="AT89:AZ104" si="54">IF(AND(Type="M",Start=Date),"◆","")</f>
        <v/>
      </c>
      <c r="AU89" s="34" t="str">
        <f t="shared" si="54"/>
        <v/>
      </c>
      <c r="AV89" s="34" t="str">
        <f t="shared" si="44"/>
        <v/>
      </c>
      <c r="AW89" s="34" t="str">
        <f t="shared" si="44"/>
        <v/>
      </c>
      <c r="AX89" s="34" t="str">
        <f t="shared" si="44"/>
        <v/>
      </c>
      <c r="AY89" s="34" t="str">
        <f t="shared" si="44"/>
        <v/>
      </c>
      <c r="AZ89" s="34" t="str">
        <f t="shared" si="44"/>
        <v/>
      </c>
      <c r="BA89" s="34" t="str">
        <f t="shared" ref="BA89:BJ102" si="55">IF(AND(Type="M",Start=Date),"◆","")</f>
        <v/>
      </c>
      <c r="BB89" s="34" t="str">
        <f t="shared" si="55"/>
        <v/>
      </c>
      <c r="BC89" s="34" t="str">
        <f t="shared" si="50"/>
        <v/>
      </c>
      <c r="BD89" s="34" t="str">
        <f t="shared" si="50"/>
        <v/>
      </c>
      <c r="BE89" s="34" t="str">
        <f t="shared" si="50"/>
        <v/>
      </c>
      <c r="BF89" s="34" t="str">
        <f t="shared" si="50"/>
        <v/>
      </c>
      <c r="BG89" s="34" t="str">
        <f t="shared" si="50"/>
        <v/>
      </c>
      <c r="BH89" s="34" t="str">
        <f t="shared" si="55"/>
        <v/>
      </c>
      <c r="BI89" s="34" t="str">
        <f t="shared" si="55"/>
        <v/>
      </c>
      <c r="BJ89" s="34" t="str">
        <f t="shared" si="55"/>
        <v/>
      </c>
      <c r="BK89" s="34" t="str">
        <f t="shared" ref="BK89:BP102" si="56">IF(AND(Type="M",Start=Date),"◆","")</f>
        <v/>
      </c>
      <c r="BL89" s="34" t="str">
        <f t="shared" si="56"/>
        <v/>
      </c>
      <c r="BM89" s="34" t="str">
        <f t="shared" si="56"/>
        <v/>
      </c>
      <c r="BN89" s="34" t="str">
        <f t="shared" si="56"/>
        <v/>
      </c>
      <c r="BO89" s="34" t="str">
        <f t="shared" si="56"/>
        <v/>
      </c>
      <c r="BP89" s="34" t="str">
        <f t="shared" si="56"/>
        <v/>
      </c>
    </row>
    <row r="90" spans="2:68" outlineLevel="2" x14ac:dyDescent="0.25">
      <c r="B90" s="32">
        <f t="shared" si="22"/>
        <v>81</v>
      </c>
      <c r="C90" s="33" t="s">
        <v>5</v>
      </c>
      <c r="D90" s="34" t="s">
        <v>23</v>
      </c>
      <c r="E90" s="34"/>
      <c r="F90" s="40"/>
      <c r="G90" s="33">
        <v>4</v>
      </c>
      <c r="H90" s="35">
        <f>IF(Type&lt;&gt;"M",WORKDAY(I89,1),I89)</f>
        <v>46105</v>
      </c>
      <c r="I90" s="35" cm="1">
        <f t="array" ref="I90">IF(G90&lt;&gt;"",WORKDAY(Start,Duration-1),IF(Type="M",WORKDAY(Start,Duration-1),""))</f>
        <v>46108</v>
      </c>
      <c r="J90" s="44"/>
      <c r="K90" s="47" t="s">
        <v>97</v>
      </c>
      <c r="L90" s="34"/>
      <c r="M90" s="36" t="str">
        <f t="shared" si="39"/>
        <v/>
      </c>
      <c r="N90" s="34" t="str">
        <f t="shared" si="39"/>
        <v/>
      </c>
      <c r="O90" s="34" t="str">
        <f t="shared" si="39"/>
        <v/>
      </c>
      <c r="P90" s="34" t="str">
        <f t="shared" si="39"/>
        <v/>
      </c>
      <c r="Q90" s="34" t="str">
        <f t="shared" si="39"/>
        <v/>
      </c>
      <c r="R90" s="34" t="str">
        <f t="shared" si="51"/>
        <v/>
      </c>
      <c r="S90" s="34" t="str">
        <f t="shared" si="51"/>
        <v/>
      </c>
      <c r="T90" s="34" t="str">
        <f t="shared" si="41"/>
        <v/>
      </c>
      <c r="U90" s="34" t="str">
        <f t="shared" si="41"/>
        <v/>
      </c>
      <c r="V90" s="34" t="str">
        <f t="shared" si="41"/>
        <v/>
      </c>
      <c r="W90" s="34" t="str">
        <f t="shared" si="41"/>
        <v/>
      </c>
      <c r="X90" s="34" t="str">
        <f t="shared" si="41"/>
        <v/>
      </c>
      <c r="Y90" s="34" t="str">
        <f t="shared" si="52"/>
        <v/>
      </c>
      <c r="Z90" s="34" t="str">
        <f t="shared" si="52"/>
        <v/>
      </c>
      <c r="AA90" s="34" t="str">
        <f t="shared" si="48"/>
        <v/>
      </c>
      <c r="AB90" s="34" t="str">
        <f t="shared" si="48"/>
        <v/>
      </c>
      <c r="AC90" s="34" t="str">
        <f t="shared" si="47"/>
        <v/>
      </c>
      <c r="AD90" s="34" t="str">
        <f t="shared" si="47"/>
        <v/>
      </c>
      <c r="AE90" s="34" t="str">
        <f t="shared" si="47"/>
        <v/>
      </c>
      <c r="AF90" s="34" t="str">
        <f t="shared" si="52"/>
        <v/>
      </c>
      <c r="AG90" s="34" t="str">
        <f t="shared" si="53"/>
        <v/>
      </c>
      <c r="AH90" s="34" t="str">
        <f t="shared" si="49"/>
        <v/>
      </c>
      <c r="AI90" s="34" t="str">
        <f t="shared" si="49"/>
        <v/>
      </c>
      <c r="AJ90" s="34" t="str">
        <f t="shared" si="49"/>
        <v/>
      </c>
      <c r="AK90" s="34" t="str">
        <f t="shared" si="49"/>
        <v/>
      </c>
      <c r="AL90" s="34" t="str">
        <f t="shared" si="49"/>
        <v/>
      </c>
      <c r="AM90" s="34" t="str">
        <f t="shared" si="53"/>
        <v/>
      </c>
      <c r="AN90" s="34" t="str">
        <f t="shared" si="53"/>
        <v/>
      </c>
      <c r="AO90" s="34" t="str">
        <f t="shared" si="43"/>
        <v/>
      </c>
      <c r="AP90" s="34" t="str">
        <f t="shared" si="43"/>
        <v/>
      </c>
      <c r="AQ90" s="34" t="str">
        <f t="shared" si="43"/>
        <v/>
      </c>
      <c r="AR90" s="34" t="str">
        <f t="shared" si="43"/>
        <v/>
      </c>
      <c r="AS90" s="34" t="str">
        <f t="shared" si="43"/>
        <v/>
      </c>
      <c r="AT90" s="34" t="str">
        <f t="shared" si="54"/>
        <v/>
      </c>
      <c r="AU90" s="34" t="str">
        <f t="shared" si="54"/>
        <v/>
      </c>
      <c r="AV90" s="34" t="str">
        <f t="shared" si="44"/>
        <v/>
      </c>
      <c r="AW90" s="34" t="str">
        <f t="shared" si="44"/>
        <v/>
      </c>
      <c r="AX90" s="34" t="str">
        <f t="shared" si="44"/>
        <v/>
      </c>
      <c r="AY90" s="34" t="str">
        <f t="shared" si="44"/>
        <v/>
      </c>
      <c r="AZ90" s="34" t="str">
        <f t="shared" si="44"/>
        <v/>
      </c>
      <c r="BA90" s="34" t="str">
        <f t="shared" si="55"/>
        <v/>
      </c>
      <c r="BB90" s="34" t="str">
        <f t="shared" si="55"/>
        <v/>
      </c>
      <c r="BC90" s="34" t="str">
        <f t="shared" si="50"/>
        <v/>
      </c>
      <c r="BD90" s="34" t="str">
        <f t="shared" si="50"/>
        <v/>
      </c>
      <c r="BE90" s="34" t="str">
        <f t="shared" si="50"/>
        <v/>
      </c>
      <c r="BF90" s="34" t="str">
        <f t="shared" si="50"/>
        <v/>
      </c>
      <c r="BG90" s="34" t="str">
        <f t="shared" si="50"/>
        <v/>
      </c>
      <c r="BH90" s="34" t="str">
        <f t="shared" si="55"/>
        <v/>
      </c>
      <c r="BI90" s="34" t="str">
        <f t="shared" si="55"/>
        <v/>
      </c>
      <c r="BJ90" s="34" t="str">
        <f t="shared" si="55"/>
        <v/>
      </c>
      <c r="BK90" s="34" t="str">
        <f t="shared" si="56"/>
        <v/>
      </c>
      <c r="BL90" s="34" t="str">
        <f t="shared" si="56"/>
        <v/>
      </c>
      <c r="BM90" s="34" t="str">
        <f t="shared" si="56"/>
        <v/>
      </c>
      <c r="BN90" s="34" t="str">
        <f t="shared" si="56"/>
        <v/>
      </c>
      <c r="BO90" s="34" t="str">
        <f t="shared" si="56"/>
        <v/>
      </c>
      <c r="BP90" s="34" t="str">
        <f t="shared" si="56"/>
        <v/>
      </c>
    </row>
    <row r="91" spans="2:68" outlineLevel="1" x14ac:dyDescent="0.25">
      <c r="B91" s="32">
        <f t="shared" si="22"/>
        <v>82</v>
      </c>
      <c r="C91" s="33" t="s">
        <v>1</v>
      </c>
      <c r="D91" s="37" t="s">
        <v>24</v>
      </c>
      <c r="E91" s="37"/>
      <c r="F91" s="41"/>
      <c r="G91" s="33">
        <f>SUM(G92:G94)</f>
        <v>7</v>
      </c>
      <c r="H91" s="35">
        <f>IF(Type&lt;&gt;"M",WORKDAY(I90,1),I90)</f>
        <v>46111</v>
      </c>
      <c r="I91" s="35" cm="1">
        <f t="array" ref="I91">IF(G91&lt;&gt;"",WORKDAY(Start,Duration-1),IF(Type="M",WORKDAY(Start,Duration-1),""))</f>
        <v>46119</v>
      </c>
      <c r="J91" s="43" cm="1">
        <f t="array" ref="J91">SUM(J92:J94*G92:G94)/SUM(G92:G94)</f>
        <v>0</v>
      </c>
      <c r="K91" s="46"/>
      <c r="L91" s="34"/>
      <c r="M91" s="36" t="str">
        <f t="shared" si="39"/>
        <v/>
      </c>
      <c r="N91" s="34" t="str">
        <f t="shared" si="39"/>
        <v/>
      </c>
      <c r="O91" s="34" t="str">
        <f t="shared" si="39"/>
        <v/>
      </c>
      <c r="P91" s="34" t="str">
        <f t="shared" si="39"/>
        <v/>
      </c>
      <c r="Q91" s="34" t="str">
        <f t="shared" si="39"/>
        <v/>
      </c>
      <c r="R91" s="34" t="str">
        <f t="shared" si="51"/>
        <v/>
      </c>
      <c r="S91" s="34" t="str">
        <f t="shared" si="51"/>
        <v/>
      </c>
      <c r="T91" s="34" t="str">
        <f t="shared" si="51"/>
        <v/>
      </c>
      <c r="U91" s="34" t="str">
        <f t="shared" si="51"/>
        <v/>
      </c>
      <c r="V91" s="34" t="str">
        <f t="shared" si="51"/>
        <v/>
      </c>
      <c r="W91" s="34" t="str">
        <f t="shared" si="51"/>
        <v/>
      </c>
      <c r="X91" s="34" t="str">
        <f t="shared" si="51"/>
        <v/>
      </c>
      <c r="Y91" s="34" t="str">
        <f t="shared" si="52"/>
        <v/>
      </c>
      <c r="Z91" s="34" t="str">
        <f t="shared" si="52"/>
        <v/>
      </c>
      <c r="AA91" s="34" t="str">
        <f t="shared" si="48"/>
        <v/>
      </c>
      <c r="AB91" s="34" t="str">
        <f t="shared" si="48"/>
        <v/>
      </c>
      <c r="AC91" s="34" t="str">
        <f t="shared" si="47"/>
        <v/>
      </c>
      <c r="AD91" s="34" t="str">
        <f t="shared" si="47"/>
        <v/>
      </c>
      <c r="AE91" s="34" t="str">
        <f t="shared" si="47"/>
        <v/>
      </c>
      <c r="AF91" s="34" t="str">
        <f t="shared" si="52"/>
        <v/>
      </c>
      <c r="AG91" s="34" t="str">
        <f t="shared" si="53"/>
        <v/>
      </c>
      <c r="AH91" s="34" t="str">
        <f t="shared" si="49"/>
        <v/>
      </c>
      <c r="AI91" s="34" t="str">
        <f t="shared" si="49"/>
        <v/>
      </c>
      <c r="AJ91" s="34" t="str">
        <f t="shared" si="49"/>
        <v/>
      </c>
      <c r="AK91" s="34" t="str">
        <f t="shared" si="49"/>
        <v/>
      </c>
      <c r="AL91" s="34" t="str">
        <f t="shared" si="49"/>
        <v/>
      </c>
      <c r="AM91" s="34" t="str">
        <f t="shared" si="53"/>
        <v/>
      </c>
      <c r="AN91" s="34" t="str">
        <f t="shared" si="53"/>
        <v/>
      </c>
      <c r="AO91" s="34" t="str">
        <f t="shared" si="53"/>
        <v/>
      </c>
      <c r="AP91" s="34" t="str">
        <f t="shared" si="53"/>
        <v/>
      </c>
      <c r="AQ91" s="34" t="str">
        <f t="shared" si="53"/>
        <v/>
      </c>
      <c r="AR91" s="34" t="str">
        <f t="shared" si="53"/>
        <v/>
      </c>
      <c r="AS91" s="34" t="str">
        <f t="shared" si="53"/>
        <v/>
      </c>
      <c r="AT91" s="34" t="str">
        <f t="shared" si="54"/>
        <v/>
      </c>
      <c r="AU91" s="34" t="str">
        <f t="shared" si="54"/>
        <v/>
      </c>
      <c r="AV91" s="34" t="str">
        <f t="shared" si="54"/>
        <v/>
      </c>
      <c r="AW91" s="34" t="str">
        <f t="shared" si="54"/>
        <v/>
      </c>
      <c r="AX91" s="34" t="str">
        <f t="shared" si="54"/>
        <v/>
      </c>
      <c r="AY91" s="34" t="str">
        <f t="shared" si="54"/>
        <v/>
      </c>
      <c r="AZ91" s="34" t="str">
        <f t="shared" si="54"/>
        <v/>
      </c>
      <c r="BA91" s="34" t="str">
        <f t="shared" si="55"/>
        <v/>
      </c>
      <c r="BB91" s="34" t="str">
        <f t="shared" si="55"/>
        <v/>
      </c>
      <c r="BC91" s="34" t="str">
        <f t="shared" si="50"/>
        <v/>
      </c>
      <c r="BD91" s="34" t="str">
        <f t="shared" si="50"/>
        <v/>
      </c>
      <c r="BE91" s="34" t="str">
        <f t="shared" si="50"/>
        <v/>
      </c>
      <c r="BF91" s="34" t="str">
        <f t="shared" si="50"/>
        <v/>
      </c>
      <c r="BG91" s="34" t="str">
        <f t="shared" si="50"/>
        <v/>
      </c>
      <c r="BH91" s="34" t="str">
        <f t="shared" si="55"/>
        <v/>
      </c>
      <c r="BI91" s="34" t="str">
        <f t="shared" si="55"/>
        <v/>
      </c>
      <c r="BJ91" s="34" t="str">
        <f t="shared" si="55"/>
        <v/>
      </c>
      <c r="BK91" s="34" t="str">
        <f t="shared" si="56"/>
        <v/>
      </c>
      <c r="BL91" s="34" t="str">
        <f t="shared" si="56"/>
        <v/>
      </c>
      <c r="BM91" s="34" t="str">
        <f t="shared" si="56"/>
        <v/>
      </c>
      <c r="BN91" s="34" t="str">
        <f t="shared" si="56"/>
        <v/>
      </c>
      <c r="BO91" s="34" t="str">
        <f t="shared" si="56"/>
        <v/>
      </c>
      <c r="BP91" s="34" t="str">
        <f t="shared" si="56"/>
        <v/>
      </c>
    </row>
    <row r="92" spans="2:68" outlineLevel="2" x14ac:dyDescent="0.25">
      <c r="B92" s="32">
        <f t="shared" si="22"/>
        <v>83</v>
      </c>
      <c r="C92" s="33" t="s">
        <v>5</v>
      </c>
      <c r="D92" s="34" t="s">
        <v>25</v>
      </c>
      <c r="E92" s="34"/>
      <c r="F92" s="40"/>
      <c r="G92" s="33">
        <v>5</v>
      </c>
      <c r="H92" s="35">
        <f>H91</f>
        <v>46111</v>
      </c>
      <c r="I92" s="35" cm="1">
        <f t="array" ref="I92">IF(G92&lt;&gt;"",WORKDAY(Start,Duration-1),IF(Type="M",WORKDAY(Start,Duration-1),""))</f>
        <v>46115</v>
      </c>
      <c r="J92" s="44"/>
      <c r="K92" s="47" t="s">
        <v>97</v>
      </c>
      <c r="L92" s="34"/>
      <c r="M92" s="36" t="str">
        <f t="shared" si="39"/>
        <v/>
      </c>
      <c r="N92" s="34" t="str">
        <f t="shared" si="39"/>
        <v/>
      </c>
      <c r="O92" s="34" t="str">
        <f t="shared" si="39"/>
        <v/>
      </c>
      <c r="P92" s="34" t="str">
        <f t="shared" si="39"/>
        <v/>
      </c>
      <c r="Q92" s="34" t="str">
        <f t="shared" si="39"/>
        <v/>
      </c>
      <c r="R92" s="34" t="str">
        <f t="shared" si="51"/>
        <v/>
      </c>
      <c r="S92" s="34" t="str">
        <f t="shared" si="51"/>
        <v/>
      </c>
      <c r="T92" s="34" t="str">
        <f t="shared" si="51"/>
        <v/>
      </c>
      <c r="U92" s="34" t="str">
        <f t="shared" si="51"/>
        <v/>
      </c>
      <c r="V92" s="34" t="str">
        <f t="shared" si="51"/>
        <v/>
      </c>
      <c r="W92" s="34" t="str">
        <f t="shared" si="51"/>
        <v/>
      </c>
      <c r="X92" s="34" t="str">
        <f t="shared" si="51"/>
        <v/>
      </c>
      <c r="Y92" s="34" t="str">
        <f t="shared" si="52"/>
        <v/>
      </c>
      <c r="Z92" s="34" t="str">
        <f t="shared" si="52"/>
        <v/>
      </c>
      <c r="AA92" s="34" t="str">
        <f t="shared" si="48"/>
        <v/>
      </c>
      <c r="AB92" s="34" t="str">
        <f t="shared" si="48"/>
        <v/>
      </c>
      <c r="AC92" s="34" t="str">
        <f t="shared" si="47"/>
        <v/>
      </c>
      <c r="AD92" s="34" t="str">
        <f t="shared" si="47"/>
        <v/>
      </c>
      <c r="AE92" s="34" t="str">
        <f t="shared" si="47"/>
        <v/>
      </c>
      <c r="AF92" s="34" t="str">
        <f t="shared" si="52"/>
        <v/>
      </c>
      <c r="AG92" s="34" t="str">
        <f t="shared" si="53"/>
        <v/>
      </c>
      <c r="AH92" s="34" t="str">
        <f t="shared" si="49"/>
        <v/>
      </c>
      <c r="AI92" s="34" t="str">
        <f t="shared" si="49"/>
        <v/>
      </c>
      <c r="AJ92" s="34" t="str">
        <f t="shared" si="49"/>
        <v/>
      </c>
      <c r="AK92" s="34" t="str">
        <f t="shared" si="49"/>
        <v/>
      </c>
      <c r="AL92" s="34" t="str">
        <f t="shared" si="49"/>
        <v/>
      </c>
      <c r="AM92" s="34" t="str">
        <f t="shared" si="53"/>
        <v/>
      </c>
      <c r="AN92" s="34" t="str">
        <f t="shared" si="53"/>
        <v/>
      </c>
      <c r="AO92" s="34" t="str">
        <f t="shared" si="53"/>
        <v/>
      </c>
      <c r="AP92" s="34" t="str">
        <f t="shared" si="53"/>
        <v/>
      </c>
      <c r="AQ92" s="34" t="str">
        <f t="shared" si="53"/>
        <v/>
      </c>
      <c r="AR92" s="34" t="str">
        <f t="shared" si="53"/>
        <v/>
      </c>
      <c r="AS92" s="34" t="str">
        <f t="shared" si="53"/>
        <v/>
      </c>
      <c r="AT92" s="34" t="str">
        <f t="shared" si="54"/>
        <v/>
      </c>
      <c r="AU92" s="34" t="str">
        <f t="shared" si="54"/>
        <v/>
      </c>
      <c r="AV92" s="34" t="str">
        <f t="shared" si="54"/>
        <v/>
      </c>
      <c r="AW92" s="34" t="str">
        <f t="shared" si="54"/>
        <v/>
      </c>
      <c r="AX92" s="34" t="str">
        <f t="shared" si="54"/>
        <v/>
      </c>
      <c r="AY92" s="34" t="str">
        <f t="shared" si="54"/>
        <v/>
      </c>
      <c r="AZ92" s="34" t="str">
        <f t="shared" si="54"/>
        <v/>
      </c>
      <c r="BA92" s="34" t="str">
        <f t="shared" si="55"/>
        <v/>
      </c>
      <c r="BB92" s="34" t="str">
        <f t="shared" si="55"/>
        <v/>
      </c>
      <c r="BC92" s="34" t="str">
        <f t="shared" si="50"/>
        <v/>
      </c>
      <c r="BD92" s="34" t="str">
        <f t="shared" si="50"/>
        <v/>
      </c>
      <c r="BE92" s="34" t="str">
        <f t="shared" si="50"/>
        <v/>
      </c>
      <c r="BF92" s="34" t="str">
        <f t="shared" si="50"/>
        <v/>
      </c>
      <c r="BG92" s="34" t="str">
        <f t="shared" si="50"/>
        <v/>
      </c>
      <c r="BH92" s="34" t="str">
        <f t="shared" si="55"/>
        <v/>
      </c>
      <c r="BI92" s="34" t="str">
        <f t="shared" si="55"/>
        <v/>
      </c>
      <c r="BJ92" s="34" t="str">
        <f t="shared" si="55"/>
        <v/>
      </c>
      <c r="BK92" s="34" t="str">
        <f t="shared" si="56"/>
        <v/>
      </c>
      <c r="BL92" s="34" t="str">
        <f t="shared" si="56"/>
        <v/>
      </c>
      <c r="BM92" s="34" t="str">
        <f t="shared" si="56"/>
        <v/>
      </c>
      <c r="BN92" s="34" t="str">
        <f t="shared" si="56"/>
        <v/>
      </c>
      <c r="BO92" s="34" t="str">
        <f t="shared" si="56"/>
        <v/>
      </c>
      <c r="BP92" s="34" t="str">
        <f t="shared" si="56"/>
        <v/>
      </c>
    </row>
    <row r="93" spans="2:68" outlineLevel="2" x14ac:dyDescent="0.25">
      <c r="B93" s="32">
        <f t="shared" si="22"/>
        <v>84</v>
      </c>
      <c r="C93" s="33" t="s">
        <v>5</v>
      </c>
      <c r="D93" s="34" t="s">
        <v>526</v>
      </c>
      <c r="E93" s="34"/>
      <c r="F93" s="40"/>
      <c r="G93" s="33">
        <v>2</v>
      </c>
      <c r="H93" s="35">
        <f>IF(Type&lt;&gt;"M",WORKDAY(I92,1),I92)</f>
        <v>46118</v>
      </c>
      <c r="I93" s="35" cm="1">
        <f t="array" ref="I93">IF(G93&lt;&gt;"",WORKDAY(Start,Duration-1),IF(Type="M",WORKDAY(Start,Duration-1),""))</f>
        <v>46119</v>
      </c>
      <c r="J93" s="44"/>
      <c r="K93" s="47" t="s">
        <v>97</v>
      </c>
      <c r="L93" s="34"/>
      <c r="M93" s="36" t="str">
        <f t="shared" si="39"/>
        <v/>
      </c>
      <c r="N93" s="34" t="str">
        <f t="shared" si="39"/>
        <v/>
      </c>
      <c r="O93" s="34" t="str">
        <f t="shared" si="39"/>
        <v/>
      </c>
      <c r="P93" s="34" t="str">
        <f t="shared" si="39"/>
        <v/>
      </c>
      <c r="Q93" s="34" t="str">
        <f t="shared" si="39"/>
        <v/>
      </c>
      <c r="R93" s="34"/>
      <c r="S93" s="34"/>
      <c r="T93" s="34" t="str">
        <f t="shared" si="51"/>
        <v/>
      </c>
      <c r="U93" s="34" t="str">
        <f t="shared" si="51"/>
        <v/>
      </c>
      <c r="V93" s="34" t="str">
        <f t="shared" si="51"/>
        <v/>
      </c>
      <c r="W93" s="34" t="str">
        <f t="shared" si="51"/>
        <v/>
      </c>
      <c r="X93" s="34" t="str">
        <f t="shared" si="51"/>
        <v/>
      </c>
      <c r="Y93" s="34"/>
      <c r="Z93" s="34"/>
      <c r="AA93" s="34" t="str">
        <f t="shared" si="48"/>
        <v/>
      </c>
      <c r="AB93" s="34" t="str">
        <f t="shared" si="48"/>
        <v/>
      </c>
      <c r="AC93" s="34" t="str">
        <f t="shared" si="47"/>
        <v/>
      </c>
      <c r="AD93" s="34" t="str">
        <f t="shared" si="47"/>
        <v/>
      </c>
      <c r="AE93" s="34" t="str">
        <f t="shared" si="47"/>
        <v/>
      </c>
      <c r="AF93" s="34"/>
      <c r="AG93" s="34"/>
      <c r="AH93" s="34" t="str">
        <f t="shared" si="49"/>
        <v/>
      </c>
      <c r="AI93" s="34" t="str">
        <f t="shared" si="49"/>
        <v/>
      </c>
      <c r="AJ93" s="34" t="str">
        <f t="shared" si="49"/>
        <v/>
      </c>
      <c r="AK93" s="34" t="str">
        <f t="shared" si="49"/>
        <v/>
      </c>
      <c r="AL93" s="34" t="str">
        <f t="shared" si="49"/>
        <v/>
      </c>
      <c r="AM93" s="34"/>
      <c r="AN93" s="34"/>
      <c r="AO93" s="34" t="str">
        <f t="shared" si="53"/>
        <v/>
      </c>
      <c r="AP93" s="34" t="str">
        <f t="shared" si="53"/>
        <v/>
      </c>
      <c r="AQ93" s="34" t="str">
        <f t="shared" si="53"/>
        <v/>
      </c>
      <c r="AR93" s="34" t="str">
        <f t="shared" si="53"/>
        <v/>
      </c>
      <c r="AS93" s="34" t="str">
        <f t="shared" si="53"/>
        <v/>
      </c>
      <c r="AT93" s="34"/>
      <c r="AU93" s="34"/>
      <c r="AV93" s="34" t="str">
        <f t="shared" si="54"/>
        <v/>
      </c>
      <c r="AW93" s="34" t="str">
        <f t="shared" si="54"/>
        <v/>
      </c>
      <c r="AX93" s="34" t="str">
        <f t="shared" si="54"/>
        <v/>
      </c>
      <c r="AY93" s="34" t="str">
        <f t="shared" si="54"/>
        <v/>
      </c>
      <c r="AZ93" s="34" t="str">
        <f t="shared" si="54"/>
        <v/>
      </c>
      <c r="BA93" s="34"/>
      <c r="BB93" s="34"/>
      <c r="BC93" s="34" t="str">
        <f t="shared" si="50"/>
        <v/>
      </c>
      <c r="BD93" s="34" t="str">
        <f t="shared" si="50"/>
        <v/>
      </c>
      <c r="BE93" s="34" t="str">
        <f t="shared" si="50"/>
        <v/>
      </c>
      <c r="BF93" s="34" t="str">
        <f t="shared" si="50"/>
        <v/>
      </c>
      <c r="BG93" s="34" t="str">
        <f t="shared" si="50"/>
        <v/>
      </c>
      <c r="BH93" s="34"/>
      <c r="BI93" s="34"/>
      <c r="BJ93" s="34"/>
      <c r="BK93" s="34"/>
      <c r="BL93" s="34"/>
      <c r="BM93" s="34"/>
      <c r="BN93" s="34"/>
      <c r="BO93" s="34"/>
      <c r="BP93" s="34"/>
    </row>
    <row r="94" spans="2:68" outlineLevel="2" x14ac:dyDescent="0.25">
      <c r="B94" s="32">
        <f t="shared" si="22"/>
        <v>85</v>
      </c>
      <c r="C94" s="33" t="s">
        <v>6</v>
      </c>
      <c r="D94" s="34" t="s">
        <v>33</v>
      </c>
      <c r="E94" s="34"/>
      <c r="F94" s="40"/>
      <c r="G94" s="33"/>
      <c r="H94" s="35">
        <f>IF(Type&lt;&gt;"M",WORKDAY(I93,1),I93)</f>
        <v>46119</v>
      </c>
      <c r="I94" s="35" cm="1">
        <f t="array" ref="I94">IF(G94&lt;&gt;"",WORKDAY(Start,Duration-1),IF(Type="M",WORKDAY(Start,Duration-1),""))</f>
        <v>46119</v>
      </c>
      <c r="J94" s="44"/>
      <c r="K94" s="47" t="s">
        <v>97</v>
      </c>
      <c r="L94" s="34" t="s">
        <v>420</v>
      </c>
      <c r="M94" s="36" t="str">
        <f t="shared" si="39"/>
        <v/>
      </c>
      <c r="N94" s="34" t="str">
        <f t="shared" si="39"/>
        <v/>
      </c>
      <c r="O94" s="34" t="str">
        <f t="shared" si="39"/>
        <v/>
      </c>
      <c r="P94" s="34" t="str">
        <f t="shared" si="39"/>
        <v/>
      </c>
      <c r="Q94" s="34" t="str">
        <f t="shared" si="39"/>
        <v/>
      </c>
      <c r="R94" s="34" t="str">
        <f t="shared" si="51"/>
        <v/>
      </c>
      <c r="S94" s="34" t="str">
        <f t="shared" si="51"/>
        <v/>
      </c>
      <c r="T94" s="34" t="str">
        <f t="shared" si="51"/>
        <v/>
      </c>
      <c r="U94" s="34" t="str">
        <f t="shared" si="51"/>
        <v/>
      </c>
      <c r="V94" s="34" t="str">
        <f t="shared" si="51"/>
        <v/>
      </c>
      <c r="W94" s="34" t="str">
        <f t="shared" si="51"/>
        <v/>
      </c>
      <c r="X94" s="34" t="str">
        <f t="shared" si="51"/>
        <v/>
      </c>
      <c r="Y94" s="34" t="str">
        <f t="shared" si="52"/>
        <v/>
      </c>
      <c r="Z94" s="34" t="str">
        <f t="shared" si="52"/>
        <v/>
      </c>
      <c r="AA94" s="34" t="str">
        <f t="shared" si="48"/>
        <v/>
      </c>
      <c r="AB94" s="34" t="str">
        <f t="shared" si="48"/>
        <v/>
      </c>
      <c r="AC94" s="34" t="str">
        <f t="shared" si="47"/>
        <v/>
      </c>
      <c r="AD94" s="34" t="str">
        <f t="shared" si="47"/>
        <v/>
      </c>
      <c r="AE94" s="34" t="str">
        <f t="shared" si="47"/>
        <v/>
      </c>
      <c r="AF94" s="34" t="str">
        <f t="shared" si="52"/>
        <v/>
      </c>
      <c r="AG94" s="34" t="str">
        <f t="shared" si="53"/>
        <v/>
      </c>
      <c r="AH94" s="34" t="str">
        <f t="shared" si="49"/>
        <v/>
      </c>
      <c r="AI94" s="34" t="str">
        <f t="shared" si="49"/>
        <v/>
      </c>
      <c r="AJ94" s="34" t="str">
        <f t="shared" si="49"/>
        <v/>
      </c>
      <c r="AK94" s="34" t="str">
        <f t="shared" si="49"/>
        <v/>
      </c>
      <c r="AL94" s="34" t="str">
        <f t="shared" si="49"/>
        <v/>
      </c>
      <c r="AM94" s="34" t="str">
        <f t="shared" si="53"/>
        <v/>
      </c>
      <c r="AN94" s="34" t="str">
        <f t="shared" si="53"/>
        <v/>
      </c>
      <c r="AO94" s="34" t="str">
        <f t="shared" si="53"/>
        <v/>
      </c>
      <c r="AP94" s="34" t="str">
        <f t="shared" si="53"/>
        <v/>
      </c>
      <c r="AQ94" s="34" t="str">
        <f t="shared" si="53"/>
        <v/>
      </c>
      <c r="AR94" s="34" t="str">
        <f t="shared" si="53"/>
        <v/>
      </c>
      <c r="AS94" s="34" t="str">
        <f t="shared" si="53"/>
        <v/>
      </c>
      <c r="AT94" s="34" t="str">
        <f t="shared" si="54"/>
        <v/>
      </c>
      <c r="AU94" s="34" t="str">
        <f t="shared" si="54"/>
        <v/>
      </c>
      <c r="AV94" s="34" t="str">
        <f t="shared" si="54"/>
        <v/>
      </c>
      <c r="AW94" s="34" t="str">
        <f t="shared" si="54"/>
        <v/>
      </c>
      <c r="AX94" s="34" t="str">
        <f t="shared" si="54"/>
        <v/>
      </c>
      <c r="AY94" s="34" t="str">
        <f t="shared" si="54"/>
        <v/>
      </c>
      <c r="AZ94" s="34" t="str">
        <f t="shared" si="54"/>
        <v/>
      </c>
      <c r="BA94" s="34" t="str">
        <f t="shared" si="55"/>
        <v/>
      </c>
      <c r="BB94" s="34" t="str">
        <f t="shared" si="55"/>
        <v/>
      </c>
      <c r="BC94" s="34" t="str">
        <f t="shared" si="50"/>
        <v/>
      </c>
      <c r="BD94" s="34" t="str">
        <f t="shared" si="50"/>
        <v/>
      </c>
      <c r="BE94" s="34" t="str">
        <f t="shared" si="50"/>
        <v/>
      </c>
      <c r="BF94" s="34" t="str">
        <f t="shared" si="50"/>
        <v/>
      </c>
      <c r="BG94" s="34" t="str">
        <f t="shared" si="50"/>
        <v/>
      </c>
      <c r="BH94" s="34" t="str">
        <f t="shared" si="55"/>
        <v/>
      </c>
      <c r="BI94" s="34" t="str">
        <f t="shared" si="55"/>
        <v/>
      </c>
      <c r="BJ94" s="34" t="str">
        <f t="shared" si="55"/>
        <v/>
      </c>
      <c r="BK94" s="34" t="str">
        <f t="shared" si="56"/>
        <v/>
      </c>
      <c r="BL94" s="34" t="str">
        <f t="shared" si="56"/>
        <v/>
      </c>
      <c r="BM94" s="34" t="str">
        <f t="shared" si="56"/>
        <v/>
      </c>
      <c r="BN94" s="34" t="str">
        <f t="shared" si="56"/>
        <v/>
      </c>
      <c r="BO94" s="34" t="str">
        <f t="shared" si="56"/>
        <v/>
      </c>
      <c r="BP94" s="34" t="str">
        <f t="shared" si="56"/>
        <v/>
      </c>
    </row>
    <row r="95" spans="2:68" x14ac:dyDescent="0.25">
      <c r="B95" s="32">
        <f t="shared" si="22"/>
        <v>86</v>
      </c>
      <c r="C95" s="33" t="s">
        <v>1</v>
      </c>
      <c r="D95" s="37" t="s">
        <v>450</v>
      </c>
      <c r="E95" s="37"/>
      <c r="F95" s="41"/>
      <c r="G95" s="33">
        <f>SUM(G96,G104,G109)</f>
        <v>153</v>
      </c>
      <c r="H95" s="35">
        <f>IF(Type&lt;&gt;"M",WORKDAY(I94,1),I94)</f>
        <v>46120</v>
      </c>
      <c r="I95" s="35" cm="1">
        <f t="array" ref="I95">IF(G95&lt;&gt;"",WORKDAY(Start,Duration-1),IF(Type="M",WORKDAY(Start,Duration-1),""))</f>
        <v>46332</v>
      </c>
      <c r="J95" s="43" cm="1">
        <f t="array" ref="J95">SUM(J96:J110*G96:G110)/SUM(G96:G110)</f>
        <v>0</v>
      </c>
      <c r="K95" s="46"/>
      <c r="L95" s="34"/>
      <c r="M95" s="36" t="str">
        <f t="shared" si="39"/>
        <v/>
      </c>
      <c r="N95" s="34" t="str">
        <f t="shared" si="39"/>
        <v/>
      </c>
      <c r="O95" s="34" t="str">
        <f t="shared" si="39"/>
        <v/>
      </c>
      <c r="P95" s="34" t="str">
        <f t="shared" si="39"/>
        <v/>
      </c>
      <c r="Q95" s="34" t="str">
        <f t="shared" si="39"/>
        <v/>
      </c>
      <c r="R95" s="34" t="str">
        <f t="shared" si="51"/>
        <v/>
      </c>
      <c r="S95" s="34" t="str">
        <f t="shared" si="51"/>
        <v/>
      </c>
      <c r="T95" s="34" t="str">
        <f t="shared" si="51"/>
        <v/>
      </c>
      <c r="U95" s="34" t="str">
        <f t="shared" si="51"/>
        <v/>
      </c>
      <c r="V95" s="34" t="str">
        <f t="shared" si="51"/>
        <v/>
      </c>
      <c r="W95" s="34" t="str">
        <f t="shared" si="51"/>
        <v/>
      </c>
      <c r="X95" s="34" t="str">
        <f t="shared" si="51"/>
        <v/>
      </c>
      <c r="Y95" s="34" t="str">
        <f t="shared" si="52"/>
        <v/>
      </c>
      <c r="Z95" s="34" t="str">
        <f t="shared" si="52"/>
        <v/>
      </c>
      <c r="AA95" s="34" t="str">
        <f t="shared" si="48"/>
        <v/>
      </c>
      <c r="AB95" s="34" t="str">
        <f t="shared" si="48"/>
        <v/>
      </c>
      <c r="AC95" s="34" t="str">
        <f t="shared" si="47"/>
        <v/>
      </c>
      <c r="AD95" s="34" t="str">
        <f t="shared" si="47"/>
        <v/>
      </c>
      <c r="AE95" s="34" t="str">
        <f t="shared" si="47"/>
        <v/>
      </c>
      <c r="AF95" s="34" t="str">
        <f t="shared" si="52"/>
        <v/>
      </c>
      <c r="AG95" s="34" t="str">
        <f t="shared" si="53"/>
        <v/>
      </c>
      <c r="AH95" s="34" t="str">
        <f t="shared" si="49"/>
        <v/>
      </c>
      <c r="AI95" s="34" t="str">
        <f t="shared" si="49"/>
        <v/>
      </c>
      <c r="AJ95" s="34" t="str">
        <f t="shared" si="49"/>
        <v/>
      </c>
      <c r="AK95" s="34" t="str">
        <f t="shared" si="49"/>
        <v/>
      </c>
      <c r="AL95" s="34" t="str">
        <f t="shared" si="49"/>
        <v/>
      </c>
      <c r="AM95" s="34" t="str">
        <f t="shared" si="53"/>
        <v/>
      </c>
      <c r="AN95" s="34" t="str">
        <f t="shared" si="53"/>
        <v/>
      </c>
      <c r="AO95" s="34" t="str">
        <f t="shared" si="53"/>
        <v/>
      </c>
      <c r="AP95" s="34" t="str">
        <f t="shared" si="53"/>
        <v/>
      </c>
      <c r="AQ95" s="34" t="str">
        <f t="shared" si="53"/>
        <v/>
      </c>
      <c r="AR95" s="34" t="str">
        <f t="shared" si="53"/>
        <v/>
      </c>
      <c r="AS95" s="34" t="str">
        <f t="shared" si="53"/>
        <v/>
      </c>
      <c r="AT95" s="34" t="str">
        <f t="shared" si="54"/>
        <v/>
      </c>
      <c r="AU95" s="34" t="str">
        <f t="shared" si="54"/>
        <v/>
      </c>
      <c r="AV95" s="34" t="str">
        <f t="shared" si="54"/>
        <v/>
      </c>
      <c r="AW95" s="34" t="str">
        <f t="shared" si="54"/>
        <v/>
      </c>
      <c r="AX95" s="34" t="str">
        <f t="shared" si="54"/>
        <v/>
      </c>
      <c r="AY95" s="34" t="str">
        <f t="shared" si="54"/>
        <v/>
      </c>
      <c r="AZ95" s="34" t="str">
        <f t="shared" si="54"/>
        <v/>
      </c>
      <c r="BA95" s="34" t="str">
        <f t="shared" si="55"/>
        <v/>
      </c>
      <c r="BB95" s="34" t="str">
        <f t="shared" si="55"/>
        <v/>
      </c>
      <c r="BC95" s="34" t="str">
        <f t="shared" si="50"/>
        <v/>
      </c>
      <c r="BD95" s="34" t="str">
        <f t="shared" si="50"/>
        <v/>
      </c>
      <c r="BE95" s="34" t="str">
        <f t="shared" si="50"/>
        <v/>
      </c>
      <c r="BF95" s="34" t="str">
        <f t="shared" si="50"/>
        <v/>
      </c>
      <c r="BG95" s="34" t="str">
        <f t="shared" si="50"/>
        <v/>
      </c>
      <c r="BH95" s="34" t="str">
        <f t="shared" si="55"/>
        <v/>
      </c>
      <c r="BI95" s="34" t="str">
        <f t="shared" si="55"/>
        <v/>
      </c>
      <c r="BJ95" s="34" t="str">
        <f t="shared" si="55"/>
        <v/>
      </c>
      <c r="BK95" s="34" t="str">
        <f t="shared" si="56"/>
        <v/>
      </c>
      <c r="BL95" s="34" t="str">
        <f t="shared" si="56"/>
        <v/>
      </c>
      <c r="BM95" s="34" t="str">
        <f t="shared" si="56"/>
        <v/>
      </c>
      <c r="BN95" s="34" t="str">
        <f t="shared" si="56"/>
        <v/>
      </c>
      <c r="BO95" s="34" t="str">
        <f t="shared" si="56"/>
        <v/>
      </c>
      <c r="BP95" s="34" t="str">
        <f t="shared" si="56"/>
        <v/>
      </c>
    </row>
    <row r="96" spans="2:68" outlineLevel="1" x14ac:dyDescent="0.25">
      <c r="B96" s="32">
        <f t="shared" si="22"/>
        <v>87</v>
      </c>
      <c r="C96" s="33" t="s">
        <v>1</v>
      </c>
      <c r="D96" s="34" t="s">
        <v>451</v>
      </c>
      <c r="E96" s="34"/>
      <c r="F96" s="40"/>
      <c r="G96" s="33">
        <f>SUM(G97:G103)</f>
        <v>31</v>
      </c>
      <c r="H96" s="35">
        <f>H95</f>
        <v>46120</v>
      </c>
      <c r="I96" s="35" cm="1">
        <f t="array" ref="I96">IF(G96&lt;&gt;"",WORKDAY(Start,Duration-1),IF(Type="M",WORKDAY(Start,Duration-1),""))</f>
        <v>46162</v>
      </c>
      <c r="J96" s="44"/>
      <c r="K96" s="47" t="s">
        <v>98</v>
      </c>
      <c r="L96" s="34"/>
      <c r="M96" s="36" t="str">
        <f t="shared" si="39"/>
        <v/>
      </c>
      <c r="N96" s="34" t="str">
        <f t="shared" si="39"/>
        <v/>
      </c>
      <c r="O96" s="34" t="str">
        <f t="shared" si="39"/>
        <v/>
      </c>
      <c r="P96" s="34" t="str">
        <f t="shared" si="39"/>
        <v/>
      </c>
      <c r="Q96" s="34" t="str">
        <f t="shared" si="39"/>
        <v/>
      </c>
      <c r="R96" s="34" t="str">
        <f t="shared" si="51"/>
        <v/>
      </c>
      <c r="S96" s="34" t="str">
        <f t="shared" si="51"/>
        <v/>
      </c>
      <c r="T96" s="34" t="str">
        <f t="shared" si="51"/>
        <v/>
      </c>
      <c r="U96" s="34" t="str">
        <f t="shared" si="51"/>
        <v/>
      </c>
      <c r="V96" s="34" t="str">
        <f t="shared" si="51"/>
        <v/>
      </c>
      <c r="W96" s="34" t="str">
        <f t="shared" si="51"/>
        <v/>
      </c>
      <c r="X96" s="34" t="str">
        <f t="shared" si="51"/>
        <v/>
      </c>
      <c r="Y96" s="34" t="str">
        <f t="shared" si="52"/>
        <v/>
      </c>
      <c r="Z96" s="34" t="str">
        <f t="shared" si="52"/>
        <v/>
      </c>
      <c r="AA96" s="34" t="str">
        <f t="shared" si="48"/>
        <v/>
      </c>
      <c r="AB96" s="34" t="str">
        <f t="shared" si="48"/>
        <v/>
      </c>
      <c r="AC96" s="34" t="str">
        <f t="shared" si="47"/>
        <v/>
      </c>
      <c r="AD96" s="34" t="str">
        <f t="shared" si="47"/>
        <v/>
      </c>
      <c r="AE96" s="34" t="str">
        <f t="shared" si="47"/>
        <v/>
      </c>
      <c r="AF96" s="34" t="str">
        <f t="shared" si="52"/>
        <v/>
      </c>
      <c r="AG96" s="34" t="str">
        <f t="shared" si="53"/>
        <v/>
      </c>
      <c r="AH96" s="34" t="str">
        <f t="shared" si="49"/>
        <v/>
      </c>
      <c r="AI96" s="34" t="str">
        <f t="shared" si="49"/>
        <v/>
      </c>
      <c r="AJ96" s="34" t="str">
        <f t="shared" si="49"/>
        <v/>
      </c>
      <c r="AK96" s="34" t="str">
        <f t="shared" si="49"/>
        <v/>
      </c>
      <c r="AL96" s="34" t="str">
        <f t="shared" si="49"/>
        <v/>
      </c>
      <c r="AM96" s="34" t="str">
        <f t="shared" si="53"/>
        <v/>
      </c>
      <c r="AN96" s="34" t="str">
        <f t="shared" si="53"/>
        <v/>
      </c>
      <c r="AO96" s="34" t="str">
        <f t="shared" si="53"/>
        <v/>
      </c>
      <c r="AP96" s="34" t="str">
        <f t="shared" si="53"/>
        <v/>
      </c>
      <c r="AQ96" s="34" t="str">
        <f t="shared" si="53"/>
        <v/>
      </c>
      <c r="AR96" s="34" t="str">
        <f t="shared" si="53"/>
        <v/>
      </c>
      <c r="AS96" s="34" t="str">
        <f t="shared" si="53"/>
        <v/>
      </c>
      <c r="AT96" s="34" t="str">
        <f t="shared" si="54"/>
        <v/>
      </c>
      <c r="AU96" s="34" t="str">
        <f t="shared" si="54"/>
        <v/>
      </c>
      <c r="AV96" s="34" t="str">
        <f t="shared" si="54"/>
        <v/>
      </c>
      <c r="AW96" s="34" t="str">
        <f t="shared" si="54"/>
        <v/>
      </c>
      <c r="AX96" s="34" t="str">
        <f t="shared" si="54"/>
        <v/>
      </c>
      <c r="AY96" s="34" t="str">
        <f t="shared" si="54"/>
        <v/>
      </c>
      <c r="AZ96" s="34" t="str">
        <f t="shared" si="54"/>
        <v/>
      </c>
      <c r="BA96" s="34" t="str">
        <f t="shared" si="55"/>
        <v/>
      </c>
      <c r="BB96" s="34" t="str">
        <f t="shared" si="55"/>
        <v/>
      </c>
      <c r="BC96" s="34" t="str">
        <f t="shared" si="50"/>
        <v/>
      </c>
      <c r="BD96" s="34" t="str">
        <f t="shared" si="50"/>
        <v/>
      </c>
      <c r="BE96" s="34" t="str">
        <f t="shared" si="50"/>
        <v/>
      </c>
      <c r="BF96" s="34" t="str">
        <f t="shared" si="50"/>
        <v/>
      </c>
      <c r="BG96" s="34" t="str">
        <f t="shared" si="50"/>
        <v/>
      </c>
      <c r="BH96" s="34" t="str">
        <f t="shared" si="55"/>
        <v/>
      </c>
      <c r="BI96" s="34" t="str">
        <f t="shared" si="55"/>
        <v/>
      </c>
      <c r="BJ96" s="34" t="str">
        <f t="shared" si="55"/>
        <v/>
      </c>
      <c r="BK96" s="34" t="str">
        <f t="shared" si="56"/>
        <v/>
      </c>
      <c r="BL96" s="34" t="str">
        <f t="shared" si="56"/>
        <v/>
      </c>
      <c r="BM96" s="34" t="str">
        <f t="shared" si="56"/>
        <v/>
      </c>
      <c r="BN96" s="34" t="str">
        <f t="shared" si="56"/>
        <v/>
      </c>
      <c r="BO96" s="34" t="str">
        <f t="shared" si="56"/>
        <v/>
      </c>
      <c r="BP96" s="34" t="str">
        <f t="shared" si="56"/>
        <v/>
      </c>
    </row>
    <row r="97" spans="2:68" outlineLevel="2" x14ac:dyDescent="0.25">
      <c r="B97" s="32">
        <f t="shared" si="22"/>
        <v>88</v>
      </c>
      <c r="C97" s="33" t="s">
        <v>5</v>
      </c>
      <c r="D97" s="34" t="s">
        <v>429</v>
      </c>
      <c r="E97" s="34"/>
      <c r="F97" s="40"/>
      <c r="G97" s="33">
        <v>5</v>
      </c>
      <c r="H97" s="35">
        <f>H96</f>
        <v>46120</v>
      </c>
      <c r="I97" s="35" cm="1">
        <f t="array" ref="I97">IF(G97&lt;&gt;"",WORKDAY(Start,Duration-1),IF(Type="M",WORKDAY(Start,Duration-1),""))</f>
        <v>46126</v>
      </c>
      <c r="J97" s="44"/>
      <c r="K97" s="47" t="s">
        <v>441</v>
      </c>
      <c r="L97" s="34"/>
      <c r="M97" s="36" t="str">
        <f t="shared" si="39"/>
        <v/>
      </c>
      <c r="N97" s="34" t="str">
        <f t="shared" si="39"/>
        <v/>
      </c>
      <c r="O97" s="34" t="str">
        <f t="shared" si="39"/>
        <v/>
      </c>
      <c r="P97" s="34" t="str">
        <f t="shared" si="39"/>
        <v/>
      </c>
      <c r="Q97" s="34" t="str">
        <f t="shared" si="39"/>
        <v/>
      </c>
      <c r="R97" s="34"/>
      <c r="S97" s="34"/>
      <c r="T97" s="34" t="str">
        <f t="shared" si="51"/>
        <v/>
      </c>
      <c r="U97" s="34" t="str">
        <f t="shared" si="51"/>
        <v/>
      </c>
      <c r="V97" s="34" t="str">
        <f t="shared" si="51"/>
        <v/>
      </c>
      <c r="W97" s="34" t="str">
        <f t="shared" si="51"/>
        <v/>
      </c>
      <c r="X97" s="34" t="str">
        <f t="shared" si="51"/>
        <v/>
      </c>
      <c r="Y97" s="34"/>
      <c r="Z97" s="34"/>
      <c r="AA97" s="34" t="str">
        <f t="shared" si="48"/>
        <v/>
      </c>
      <c r="AB97" s="34" t="str">
        <f t="shared" si="48"/>
        <v/>
      </c>
      <c r="AC97" s="34" t="str">
        <f t="shared" si="47"/>
        <v/>
      </c>
      <c r="AD97" s="34" t="str">
        <f t="shared" si="47"/>
        <v/>
      </c>
      <c r="AE97" s="34" t="str">
        <f t="shared" si="47"/>
        <v/>
      </c>
      <c r="AF97" s="34"/>
      <c r="AG97" s="34"/>
      <c r="AH97" s="34" t="str">
        <f t="shared" si="49"/>
        <v/>
      </c>
      <c r="AI97" s="34" t="str">
        <f t="shared" si="49"/>
        <v/>
      </c>
      <c r="AJ97" s="34" t="str">
        <f t="shared" si="49"/>
        <v/>
      </c>
      <c r="AK97" s="34" t="str">
        <f t="shared" si="49"/>
        <v/>
      </c>
      <c r="AL97" s="34" t="str">
        <f t="shared" si="49"/>
        <v/>
      </c>
      <c r="AM97" s="34"/>
      <c r="AN97" s="34"/>
      <c r="AO97" s="34" t="str">
        <f t="shared" si="53"/>
        <v/>
      </c>
      <c r="AP97" s="34" t="str">
        <f t="shared" si="53"/>
        <v/>
      </c>
      <c r="AQ97" s="34" t="str">
        <f t="shared" si="53"/>
        <v/>
      </c>
      <c r="AR97" s="34" t="str">
        <f t="shared" si="53"/>
        <v/>
      </c>
      <c r="AS97" s="34" t="str">
        <f t="shared" si="53"/>
        <v/>
      </c>
      <c r="AT97" s="34"/>
      <c r="AU97" s="34"/>
      <c r="AV97" s="34" t="str">
        <f t="shared" si="54"/>
        <v/>
      </c>
      <c r="AW97" s="34" t="str">
        <f t="shared" si="54"/>
        <v/>
      </c>
      <c r="AX97" s="34" t="str">
        <f t="shared" si="54"/>
        <v/>
      </c>
      <c r="AY97" s="34" t="str">
        <f t="shared" si="54"/>
        <v/>
      </c>
      <c r="AZ97" s="34" t="str">
        <f t="shared" si="54"/>
        <v/>
      </c>
      <c r="BA97" s="34"/>
      <c r="BB97" s="34"/>
      <c r="BC97" s="34" t="str">
        <f t="shared" si="50"/>
        <v/>
      </c>
      <c r="BD97" s="34" t="str">
        <f t="shared" si="50"/>
        <v/>
      </c>
      <c r="BE97" s="34" t="str">
        <f t="shared" si="50"/>
        <v/>
      </c>
      <c r="BF97" s="34" t="str">
        <f t="shared" si="50"/>
        <v/>
      </c>
      <c r="BG97" s="34" t="str">
        <f t="shared" si="50"/>
        <v/>
      </c>
      <c r="BH97" s="34"/>
      <c r="BI97" s="34"/>
      <c r="BJ97" s="34"/>
      <c r="BK97" s="34"/>
      <c r="BL97" s="34"/>
      <c r="BM97" s="34"/>
      <c r="BN97" s="34"/>
      <c r="BO97" s="34"/>
      <c r="BP97" s="34"/>
    </row>
    <row r="98" spans="2:68" outlineLevel="2" x14ac:dyDescent="0.25">
      <c r="B98" s="32">
        <f t="shared" si="22"/>
        <v>89</v>
      </c>
      <c r="C98" s="33" t="s">
        <v>5</v>
      </c>
      <c r="D98" s="34" t="s">
        <v>27</v>
      </c>
      <c r="E98" s="34"/>
      <c r="F98" s="40"/>
      <c r="G98" s="33">
        <v>5</v>
      </c>
      <c r="H98" s="35">
        <f t="shared" ref="H98:H104" si="57">IF(Type&lt;&gt;"M",WORKDAY(I97,1),I97)</f>
        <v>46127</v>
      </c>
      <c r="I98" s="35" cm="1">
        <f t="array" ref="I98">IF(G98&lt;&gt;"",WORKDAY(Start,Duration-1),IF(Type="M",WORKDAY(Start,Duration-1),""))</f>
        <v>46133</v>
      </c>
      <c r="J98" s="44"/>
      <c r="K98" s="47" t="s">
        <v>98</v>
      </c>
      <c r="L98" s="34"/>
      <c r="M98" s="36" t="str">
        <f t="shared" si="39"/>
        <v/>
      </c>
      <c r="N98" s="34" t="str">
        <f t="shared" si="39"/>
        <v/>
      </c>
      <c r="O98" s="34" t="str">
        <f t="shared" si="39"/>
        <v/>
      </c>
      <c r="P98" s="34" t="str">
        <f t="shared" si="39"/>
        <v/>
      </c>
      <c r="Q98" s="34" t="str">
        <f t="shared" si="39"/>
        <v/>
      </c>
      <c r="R98" s="34"/>
      <c r="S98" s="34"/>
      <c r="T98" s="34" t="str">
        <f t="shared" si="51"/>
        <v/>
      </c>
      <c r="U98" s="34" t="str">
        <f t="shared" si="51"/>
        <v/>
      </c>
      <c r="V98" s="34" t="str">
        <f t="shared" si="51"/>
        <v/>
      </c>
      <c r="W98" s="34" t="str">
        <f t="shared" si="51"/>
        <v/>
      </c>
      <c r="X98" s="34" t="str">
        <f t="shared" si="51"/>
        <v/>
      </c>
      <c r="Y98" s="34"/>
      <c r="Z98" s="34"/>
      <c r="AA98" s="34" t="str">
        <f t="shared" si="48"/>
        <v/>
      </c>
      <c r="AB98" s="34" t="str">
        <f t="shared" si="48"/>
        <v/>
      </c>
      <c r="AC98" s="34" t="str">
        <f t="shared" si="47"/>
        <v/>
      </c>
      <c r="AD98" s="34" t="str">
        <f t="shared" si="47"/>
        <v/>
      </c>
      <c r="AE98" s="34" t="str">
        <f t="shared" si="47"/>
        <v/>
      </c>
      <c r="AF98" s="34"/>
      <c r="AG98" s="34"/>
      <c r="AH98" s="34" t="str">
        <f t="shared" si="49"/>
        <v/>
      </c>
      <c r="AI98" s="34" t="str">
        <f t="shared" si="49"/>
        <v/>
      </c>
      <c r="AJ98" s="34" t="str">
        <f t="shared" si="49"/>
        <v/>
      </c>
      <c r="AK98" s="34" t="str">
        <f t="shared" si="49"/>
        <v/>
      </c>
      <c r="AL98" s="34" t="str">
        <f t="shared" si="49"/>
        <v/>
      </c>
      <c r="AM98" s="34"/>
      <c r="AN98" s="34"/>
      <c r="AO98" s="34" t="str">
        <f t="shared" si="53"/>
        <v/>
      </c>
      <c r="AP98" s="34" t="str">
        <f t="shared" si="53"/>
        <v/>
      </c>
      <c r="AQ98" s="34" t="str">
        <f t="shared" si="53"/>
        <v/>
      </c>
      <c r="AR98" s="34" t="str">
        <f t="shared" si="53"/>
        <v/>
      </c>
      <c r="AS98" s="34" t="str">
        <f t="shared" si="53"/>
        <v/>
      </c>
      <c r="AT98" s="34"/>
      <c r="AU98" s="34"/>
      <c r="AV98" s="34" t="str">
        <f t="shared" si="54"/>
        <v/>
      </c>
      <c r="AW98" s="34" t="str">
        <f t="shared" si="54"/>
        <v/>
      </c>
      <c r="AX98" s="34" t="str">
        <f t="shared" si="54"/>
        <v/>
      </c>
      <c r="AY98" s="34" t="str">
        <f t="shared" si="54"/>
        <v/>
      </c>
      <c r="AZ98" s="34" t="str">
        <f t="shared" si="54"/>
        <v/>
      </c>
      <c r="BA98" s="34"/>
      <c r="BB98" s="34"/>
      <c r="BC98" s="34" t="str">
        <f t="shared" si="50"/>
        <v/>
      </c>
      <c r="BD98" s="34" t="str">
        <f t="shared" si="50"/>
        <v/>
      </c>
      <c r="BE98" s="34" t="str">
        <f t="shared" si="50"/>
        <v/>
      </c>
      <c r="BF98" s="34" t="str">
        <f t="shared" si="50"/>
        <v/>
      </c>
      <c r="BG98" s="34" t="str">
        <f t="shared" si="50"/>
        <v/>
      </c>
      <c r="BH98" s="34"/>
      <c r="BI98" s="34"/>
      <c r="BJ98" s="34"/>
      <c r="BK98" s="34"/>
      <c r="BL98" s="34"/>
      <c r="BM98" s="34"/>
      <c r="BN98" s="34"/>
      <c r="BO98" s="34"/>
      <c r="BP98" s="34"/>
    </row>
    <row r="99" spans="2:68" outlineLevel="2" x14ac:dyDescent="0.25">
      <c r="B99" s="32">
        <f t="shared" si="22"/>
        <v>90</v>
      </c>
      <c r="C99" s="33" t="s">
        <v>5</v>
      </c>
      <c r="D99" s="34" t="s">
        <v>28</v>
      </c>
      <c r="E99" s="34"/>
      <c r="F99" s="40"/>
      <c r="G99" s="33">
        <v>5</v>
      </c>
      <c r="H99" s="35">
        <f t="shared" si="57"/>
        <v>46134</v>
      </c>
      <c r="I99" s="35" cm="1">
        <f t="array" ref="I99">IF(G99&lt;&gt;"",WORKDAY(Start,Duration-1),IF(Type="M",WORKDAY(Start,Duration-1),""))</f>
        <v>46140</v>
      </c>
      <c r="J99" s="44"/>
      <c r="K99" s="47" t="s">
        <v>98</v>
      </c>
      <c r="L99" s="34"/>
      <c r="M99" s="36" t="str">
        <f t="shared" si="39"/>
        <v/>
      </c>
      <c r="N99" s="34" t="str">
        <f t="shared" si="39"/>
        <v/>
      </c>
      <c r="O99" s="34" t="str">
        <f t="shared" si="39"/>
        <v/>
      </c>
      <c r="P99" s="34" t="str">
        <f t="shared" si="39"/>
        <v/>
      </c>
      <c r="Q99" s="34" t="str">
        <f t="shared" si="39"/>
        <v/>
      </c>
      <c r="R99" s="34" t="str">
        <f t="shared" si="51"/>
        <v/>
      </c>
      <c r="S99" s="34" t="str">
        <f t="shared" si="51"/>
        <v/>
      </c>
      <c r="T99" s="34" t="str">
        <f t="shared" si="51"/>
        <v/>
      </c>
      <c r="U99" s="34" t="str">
        <f t="shared" si="51"/>
        <v/>
      </c>
      <c r="V99" s="34" t="str">
        <f t="shared" si="51"/>
        <v/>
      </c>
      <c r="W99" s="34" t="str">
        <f t="shared" si="51"/>
        <v/>
      </c>
      <c r="X99" s="34" t="str">
        <f t="shared" si="51"/>
        <v/>
      </c>
      <c r="Y99" s="34" t="str">
        <f t="shared" si="52"/>
        <v/>
      </c>
      <c r="Z99" s="34" t="str">
        <f t="shared" si="52"/>
        <v/>
      </c>
      <c r="AA99" s="34" t="str">
        <f t="shared" si="48"/>
        <v/>
      </c>
      <c r="AB99" s="34" t="str">
        <f t="shared" si="48"/>
        <v/>
      </c>
      <c r="AC99" s="34" t="str">
        <f t="shared" si="47"/>
        <v/>
      </c>
      <c r="AD99" s="34" t="str">
        <f t="shared" si="47"/>
        <v/>
      </c>
      <c r="AE99" s="34" t="str">
        <f t="shared" si="47"/>
        <v/>
      </c>
      <c r="AF99" s="34" t="str">
        <f t="shared" si="52"/>
        <v/>
      </c>
      <c r="AG99" s="34" t="str">
        <f t="shared" si="53"/>
        <v/>
      </c>
      <c r="AH99" s="34" t="str">
        <f t="shared" si="49"/>
        <v/>
      </c>
      <c r="AI99" s="34" t="str">
        <f t="shared" si="49"/>
        <v/>
      </c>
      <c r="AJ99" s="34" t="str">
        <f t="shared" si="49"/>
        <v/>
      </c>
      <c r="AK99" s="34" t="str">
        <f t="shared" si="49"/>
        <v/>
      </c>
      <c r="AL99" s="34" t="str">
        <f t="shared" si="49"/>
        <v/>
      </c>
      <c r="AM99" s="34" t="str">
        <f t="shared" si="53"/>
        <v/>
      </c>
      <c r="AN99" s="34" t="str">
        <f t="shared" si="53"/>
        <v/>
      </c>
      <c r="AO99" s="34" t="str">
        <f t="shared" si="53"/>
        <v/>
      </c>
      <c r="AP99" s="34" t="str">
        <f t="shared" si="53"/>
        <v/>
      </c>
      <c r="AQ99" s="34" t="str">
        <f t="shared" si="53"/>
        <v/>
      </c>
      <c r="AR99" s="34" t="str">
        <f t="shared" si="53"/>
        <v/>
      </c>
      <c r="AS99" s="34" t="str">
        <f t="shared" si="53"/>
        <v/>
      </c>
      <c r="AT99" s="34" t="str">
        <f t="shared" si="54"/>
        <v/>
      </c>
      <c r="AU99" s="34" t="str">
        <f t="shared" si="54"/>
        <v/>
      </c>
      <c r="AV99" s="34" t="str">
        <f t="shared" si="54"/>
        <v/>
      </c>
      <c r="AW99" s="34" t="str">
        <f t="shared" si="54"/>
        <v/>
      </c>
      <c r="AX99" s="34" t="str">
        <f t="shared" si="54"/>
        <v/>
      </c>
      <c r="AY99" s="34" t="str">
        <f t="shared" si="54"/>
        <v/>
      </c>
      <c r="AZ99" s="34" t="str">
        <f t="shared" si="54"/>
        <v/>
      </c>
      <c r="BA99" s="34" t="str">
        <f t="shared" si="55"/>
        <v/>
      </c>
      <c r="BB99" s="34" t="str">
        <f t="shared" si="55"/>
        <v/>
      </c>
      <c r="BC99" s="34" t="str">
        <f t="shared" si="50"/>
        <v/>
      </c>
      <c r="BD99" s="34" t="str">
        <f t="shared" si="50"/>
        <v/>
      </c>
      <c r="BE99" s="34" t="str">
        <f t="shared" si="50"/>
        <v/>
      </c>
      <c r="BF99" s="34" t="str">
        <f t="shared" si="50"/>
        <v/>
      </c>
      <c r="BG99" s="34" t="str">
        <f t="shared" si="50"/>
        <v/>
      </c>
      <c r="BH99" s="34" t="str">
        <f t="shared" si="55"/>
        <v/>
      </c>
      <c r="BI99" s="34" t="str">
        <f t="shared" si="55"/>
        <v/>
      </c>
      <c r="BJ99" s="34" t="str">
        <f t="shared" si="55"/>
        <v/>
      </c>
      <c r="BK99" s="34" t="str">
        <f t="shared" si="56"/>
        <v/>
      </c>
      <c r="BL99" s="34" t="str">
        <f t="shared" si="56"/>
        <v/>
      </c>
      <c r="BM99" s="34" t="str">
        <f t="shared" si="56"/>
        <v/>
      </c>
      <c r="BN99" s="34" t="str">
        <f t="shared" si="56"/>
        <v/>
      </c>
      <c r="BO99" s="34" t="str">
        <f t="shared" si="56"/>
        <v/>
      </c>
      <c r="BP99" s="34" t="str">
        <f t="shared" si="56"/>
        <v/>
      </c>
    </row>
    <row r="100" spans="2:68" outlineLevel="2" x14ac:dyDescent="0.25">
      <c r="B100" s="32">
        <f t="shared" si="22"/>
        <v>91</v>
      </c>
      <c r="C100" s="33" t="s">
        <v>5</v>
      </c>
      <c r="D100" s="34" t="s">
        <v>73</v>
      </c>
      <c r="E100" s="34"/>
      <c r="F100" s="40"/>
      <c r="G100" s="33">
        <v>1</v>
      </c>
      <c r="H100" s="35">
        <f t="shared" si="57"/>
        <v>46141</v>
      </c>
      <c r="I100" s="35" cm="1">
        <f t="array" ref="I100">IF(G100&lt;&gt;"",WORKDAY(Start,Duration-1),IF(Type="M",WORKDAY(Start,Duration-1),""))</f>
        <v>46141</v>
      </c>
      <c r="J100" s="44"/>
      <c r="K100" s="47" t="s">
        <v>98</v>
      </c>
      <c r="L100" s="34" t="s">
        <v>68</v>
      </c>
      <c r="M100" s="36" t="str">
        <f t="shared" si="39"/>
        <v/>
      </c>
      <c r="N100" s="34" t="str">
        <f t="shared" si="39"/>
        <v/>
      </c>
      <c r="O100" s="34" t="str">
        <f t="shared" si="39"/>
        <v/>
      </c>
      <c r="P100" s="34" t="str">
        <f t="shared" si="39"/>
        <v/>
      </c>
      <c r="Q100" s="34" t="str">
        <f t="shared" si="39"/>
        <v/>
      </c>
      <c r="R100" s="34"/>
      <c r="S100" s="34"/>
      <c r="T100" s="34" t="str">
        <f t="shared" si="51"/>
        <v/>
      </c>
      <c r="U100" s="34" t="str">
        <f t="shared" si="51"/>
        <v/>
      </c>
      <c r="V100" s="34" t="str">
        <f t="shared" si="51"/>
        <v/>
      </c>
      <c r="W100" s="34" t="str">
        <f t="shared" si="51"/>
        <v/>
      </c>
      <c r="X100" s="34" t="str">
        <f t="shared" si="51"/>
        <v/>
      </c>
      <c r="Y100" s="34"/>
      <c r="Z100" s="34"/>
      <c r="AA100" s="34" t="str">
        <f t="shared" si="48"/>
        <v/>
      </c>
      <c r="AB100" s="34" t="str">
        <f t="shared" si="48"/>
        <v/>
      </c>
      <c r="AC100" s="34" t="str">
        <f t="shared" si="47"/>
        <v/>
      </c>
      <c r="AD100" s="34" t="str">
        <f t="shared" si="47"/>
        <v/>
      </c>
      <c r="AE100" s="34" t="str">
        <f t="shared" si="47"/>
        <v/>
      </c>
      <c r="AF100" s="34"/>
      <c r="AG100" s="34"/>
      <c r="AH100" s="34" t="str">
        <f t="shared" si="49"/>
        <v/>
      </c>
      <c r="AI100" s="34" t="str">
        <f t="shared" si="49"/>
        <v/>
      </c>
      <c r="AJ100" s="34" t="str">
        <f t="shared" si="49"/>
        <v/>
      </c>
      <c r="AK100" s="34" t="str">
        <f t="shared" si="49"/>
        <v/>
      </c>
      <c r="AL100" s="34" t="str">
        <f t="shared" si="49"/>
        <v/>
      </c>
      <c r="AM100" s="34"/>
      <c r="AN100" s="34"/>
      <c r="AO100" s="34" t="str">
        <f t="shared" si="53"/>
        <v/>
      </c>
      <c r="AP100" s="34" t="str">
        <f t="shared" si="53"/>
        <v/>
      </c>
      <c r="AQ100" s="34" t="str">
        <f t="shared" si="53"/>
        <v/>
      </c>
      <c r="AR100" s="34" t="str">
        <f t="shared" si="53"/>
        <v/>
      </c>
      <c r="AS100" s="34" t="str">
        <f t="shared" si="53"/>
        <v/>
      </c>
      <c r="AT100" s="34"/>
      <c r="AU100" s="34"/>
      <c r="AV100" s="34" t="str">
        <f t="shared" si="54"/>
        <v/>
      </c>
      <c r="AW100" s="34" t="str">
        <f t="shared" si="54"/>
        <v/>
      </c>
      <c r="AX100" s="34" t="str">
        <f t="shared" si="54"/>
        <v/>
      </c>
      <c r="AY100" s="34" t="str">
        <f t="shared" si="54"/>
        <v/>
      </c>
      <c r="AZ100" s="34" t="str">
        <f t="shared" si="54"/>
        <v/>
      </c>
      <c r="BA100" s="34"/>
      <c r="BB100" s="34"/>
      <c r="BC100" s="34" t="str">
        <f t="shared" si="50"/>
        <v/>
      </c>
      <c r="BD100" s="34" t="str">
        <f t="shared" si="50"/>
        <v/>
      </c>
      <c r="BE100" s="34" t="str">
        <f t="shared" si="50"/>
        <v/>
      </c>
      <c r="BF100" s="34" t="str">
        <f t="shared" si="50"/>
        <v/>
      </c>
      <c r="BG100" s="34" t="str">
        <f t="shared" si="50"/>
        <v/>
      </c>
      <c r="BH100" s="34"/>
      <c r="BI100" s="34"/>
      <c r="BJ100" s="34"/>
      <c r="BK100" s="34"/>
      <c r="BL100" s="34"/>
      <c r="BM100" s="34"/>
      <c r="BN100" s="34"/>
      <c r="BO100" s="34"/>
      <c r="BP100" s="34"/>
    </row>
    <row r="101" spans="2:68" outlineLevel="2" x14ac:dyDescent="0.25">
      <c r="B101" s="32">
        <f t="shared" ref="B101:B161" si="58">B100+1</f>
        <v>92</v>
      </c>
      <c r="C101" s="33" t="s">
        <v>5</v>
      </c>
      <c r="D101" s="34" t="s">
        <v>26</v>
      </c>
      <c r="E101" s="34"/>
      <c r="F101" s="40"/>
      <c r="G101" s="33">
        <v>10</v>
      </c>
      <c r="H101" s="35">
        <f t="shared" si="57"/>
        <v>46142</v>
      </c>
      <c r="I101" s="35" cm="1">
        <f t="array" ref="I101">IF(G101&lt;&gt;"",WORKDAY(Start,Duration-1),IF(Type="M",WORKDAY(Start,Duration-1),""))</f>
        <v>46155</v>
      </c>
      <c r="J101" s="44"/>
      <c r="K101" s="47" t="s">
        <v>98</v>
      </c>
      <c r="L101" s="34"/>
      <c r="M101" s="36" t="str">
        <f t="shared" si="39"/>
        <v/>
      </c>
      <c r="N101" s="34" t="str">
        <f t="shared" si="39"/>
        <v/>
      </c>
      <c r="O101" s="34" t="str">
        <f t="shared" si="39"/>
        <v/>
      </c>
      <c r="P101" s="34" t="str">
        <f t="shared" si="39"/>
        <v/>
      </c>
      <c r="Q101" s="34" t="str">
        <f t="shared" si="39"/>
        <v/>
      </c>
      <c r="R101" s="34" t="str">
        <f t="shared" si="51"/>
        <v/>
      </c>
      <c r="S101" s="34" t="str">
        <f t="shared" si="51"/>
        <v/>
      </c>
      <c r="T101" s="34" t="str">
        <f t="shared" si="51"/>
        <v/>
      </c>
      <c r="U101" s="34" t="str">
        <f t="shared" si="51"/>
        <v/>
      </c>
      <c r="V101" s="34" t="str">
        <f t="shared" si="51"/>
        <v/>
      </c>
      <c r="W101" s="34" t="str">
        <f t="shared" si="51"/>
        <v/>
      </c>
      <c r="X101" s="34" t="str">
        <f t="shared" si="51"/>
        <v/>
      </c>
      <c r="Y101" s="34" t="str">
        <f t="shared" si="52"/>
        <v/>
      </c>
      <c r="Z101" s="34" t="str">
        <f t="shared" si="52"/>
        <v/>
      </c>
      <c r="AA101" s="34" t="str">
        <f t="shared" si="48"/>
        <v/>
      </c>
      <c r="AB101" s="34" t="str">
        <f t="shared" si="48"/>
        <v/>
      </c>
      <c r="AC101" s="34" t="str">
        <f t="shared" si="47"/>
        <v/>
      </c>
      <c r="AD101" s="34" t="str">
        <f t="shared" si="47"/>
        <v/>
      </c>
      <c r="AE101" s="34" t="str">
        <f t="shared" si="47"/>
        <v/>
      </c>
      <c r="AF101" s="34" t="str">
        <f t="shared" si="52"/>
        <v/>
      </c>
      <c r="AG101" s="34" t="str">
        <f t="shared" si="53"/>
        <v/>
      </c>
      <c r="AH101" s="34" t="str">
        <f t="shared" si="49"/>
        <v/>
      </c>
      <c r="AI101" s="34" t="str">
        <f t="shared" si="49"/>
        <v/>
      </c>
      <c r="AJ101" s="34" t="str">
        <f t="shared" si="49"/>
        <v/>
      </c>
      <c r="AK101" s="34" t="str">
        <f t="shared" si="49"/>
        <v/>
      </c>
      <c r="AL101" s="34" t="str">
        <f t="shared" si="49"/>
        <v/>
      </c>
      <c r="AM101" s="34" t="str">
        <f t="shared" si="53"/>
        <v/>
      </c>
      <c r="AN101" s="34" t="str">
        <f t="shared" si="53"/>
        <v/>
      </c>
      <c r="AO101" s="34" t="str">
        <f t="shared" si="53"/>
        <v/>
      </c>
      <c r="AP101" s="34" t="str">
        <f t="shared" si="53"/>
        <v/>
      </c>
      <c r="AQ101" s="34" t="str">
        <f t="shared" si="53"/>
        <v/>
      </c>
      <c r="AR101" s="34" t="str">
        <f t="shared" si="53"/>
        <v/>
      </c>
      <c r="AS101" s="34" t="str">
        <f t="shared" si="53"/>
        <v/>
      </c>
      <c r="AT101" s="34" t="str">
        <f t="shared" si="54"/>
        <v/>
      </c>
      <c r="AU101" s="34" t="str">
        <f t="shared" si="54"/>
        <v/>
      </c>
      <c r="AV101" s="34" t="str">
        <f t="shared" si="54"/>
        <v/>
      </c>
      <c r="AW101" s="34" t="str">
        <f t="shared" si="54"/>
        <v/>
      </c>
      <c r="AX101" s="34" t="str">
        <f t="shared" si="54"/>
        <v/>
      </c>
      <c r="AY101" s="34" t="str">
        <f t="shared" si="54"/>
        <v/>
      </c>
      <c r="AZ101" s="34" t="str">
        <f t="shared" si="54"/>
        <v/>
      </c>
      <c r="BA101" s="34" t="str">
        <f t="shared" si="55"/>
        <v/>
      </c>
      <c r="BB101" s="34" t="str">
        <f t="shared" si="55"/>
        <v/>
      </c>
      <c r="BC101" s="34" t="str">
        <f t="shared" si="50"/>
        <v/>
      </c>
      <c r="BD101" s="34" t="str">
        <f t="shared" si="50"/>
        <v/>
      </c>
      <c r="BE101" s="34" t="str">
        <f t="shared" si="50"/>
        <v/>
      </c>
      <c r="BF101" s="34" t="str">
        <f t="shared" si="50"/>
        <v/>
      </c>
      <c r="BG101" s="34" t="str">
        <f t="shared" si="50"/>
        <v/>
      </c>
      <c r="BH101" s="34" t="str">
        <f t="shared" si="55"/>
        <v/>
      </c>
      <c r="BI101" s="34" t="str">
        <f t="shared" si="55"/>
        <v/>
      </c>
      <c r="BJ101" s="34" t="str">
        <f t="shared" si="55"/>
        <v/>
      </c>
      <c r="BK101" s="34" t="str">
        <f t="shared" si="56"/>
        <v/>
      </c>
      <c r="BL101" s="34" t="str">
        <f t="shared" si="56"/>
        <v/>
      </c>
      <c r="BM101" s="34" t="str">
        <f t="shared" si="56"/>
        <v/>
      </c>
      <c r="BN101" s="34" t="str">
        <f t="shared" si="56"/>
        <v/>
      </c>
      <c r="BO101" s="34" t="str">
        <f t="shared" si="56"/>
        <v/>
      </c>
      <c r="BP101" s="34" t="str">
        <f t="shared" si="56"/>
        <v/>
      </c>
    </row>
    <row r="102" spans="2:68" outlineLevel="2" x14ac:dyDescent="0.25">
      <c r="B102" s="32">
        <f t="shared" si="58"/>
        <v>93</v>
      </c>
      <c r="C102" s="33" t="s">
        <v>5</v>
      </c>
      <c r="D102" s="34" t="s">
        <v>426</v>
      </c>
      <c r="E102" s="34"/>
      <c r="F102" s="40"/>
      <c r="G102" s="33">
        <v>5</v>
      </c>
      <c r="H102" s="35">
        <f t="shared" si="57"/>
        <v>46156</v>
      </c>
      <c r="I102" s="35" cm="1">
        <f t="array" ref="I102">IF(G102&lt;&gt;"",WORKDAY(Start,Duration-1),IF(Type="M",WORKDAY(Start,Duration-1),""))</f>
        <v>46162</v>
      </c>
      <c r="J102" s="44"/>
      <c r="K102" s="47" t="s">
        <v>98</v>
      </c>
      <c r="L102" s="34" t="s">
        <v>398</v>
      </c>
      <c r="M102" s="36" t="str">
        <f t="shared" si="39"/>
        <v/>
      </c>
      <c r="N102" s="34" t="str">
        <f t="shared" si="39"/>
        <v/>
      </c>
      <c r="O102" s="34" t="str">
        <f t="shared" si="39"/>
        <v/>
      </c>
      <c r="P102" s="34" t="str">
        <f t="shared" si="39"/>
        <v/>
      </c>
      <c r="Q102" s="34" t="str">
        <f t="shared" si="39"/>
        <v/>
      </c>
      <c r="R102" s="34" t="str">
        <f t="shared" si="51"/>
        <v/>
      </c>
      <c r="S102" s="34" t="str">
        <f t="shared" si="51"/>
        <v/>
      </c>
      <c r="T102" s="34" t="str">
        <f t="shared" si="51"/>
        <v/>
      </c>
      <c r="U102" s="34" t="str">
        <f t="shared" si="51"/>
        <v/>
      </c>
      <c r="V102" s="34" t="str">
        <f t="shared" si="51"/>
        <v/>
      </c>
      <c r="W102" s="34" t="str">
        <f t="shared" si="51"/>
        <v/>
      </c>
      <c r="X102" s="34" t="str">
        <f t="shared" si="51"/>
        <v/>
      </c>
      <c r="Y102" s="34" t="str">
        <f t="shared" si="52"/>
        <v/>
      </c>
      <c r="Z102" s="34" t="str">
        <f t="shared" si="52"/>
        <v/>
      </c>
      <c r="AA102" s="34" t="str">
        <f t="shared" si="48"/>
        <v/>
      </c>
      <c r="AB102" s="34" t="str">
        <f t="shared" si="48"/>
        <v/>
      </c>
      <c r="AC102" s="34" t="str">
        <f t="shared" si="47"/>
        <v/>
      </c>
      <c r="AD102" s="34" t="str">
        <f t="shared" si="47"/>
        <v/>
      </c>
      <c r="AE102" s="34" t="str">
        <f t="shared" si="47"/>
        <v/>
      </c>
      <c r="AF102" s="34" t="str">
        <f t="shared" si="52"/>
        <v/>
      </c>
      <c r="AG102" s="34" t="str">
        <f t="shared" si="53"/>
        <v/>
      </c>
      <c r="AH102" s="34" t="str">
        <f t="shared" si="49"/>
        <v/>
      </c>
      <c r="AI102" s="34" t="str">
        <f t="shared" si="49"/>
        <v/>
      </c>
      <c r="AJ102" s="34" t="str">
        <f t="shared" si="49"/>
        <v/>
      </c>
      <c r="AK102" s="34" t="str">
        <f t="shared" si="49"/>
        <v/>
      </c>
      <c r="AL102" s="34" t="str">
        <f t="shared" si="49"/>
        <v/>
      </c>
      <c r="AM102" s="34" t="str">
        <f t="shared" si="53"/>
        <v/>
      </c>
      <c r="AN102" s="34" t="str">
        <f t="shared" si="53"/>
        <v/>
      </c>
      <c r="AO102" s="34" t="str">
        <f t="shared" si="53"/>
        <v/>
      </c>
      <c r="AP102" s="34" t="str">
        <f t="shared" si="53"/>
        <v/>
      </c>
      <c r="AQ102" s="34" t="str">
        <f t="shared" si="53"/>
        <v/>
      </c>
      <c r="AR102" s="34" t="str">
        <f t="shared" si="53"/>
        <v/>
      </c>
      <c r="AS102" s="34" t="str">
        <f t="shared" si="53"/>
        <v/>
      </c>
      <c r="AT102" s="34" t="str">
        <f t="shared" si="54"/>
        <v/>
      </c>
      <c r="AU102" s="34" t="str">
        <f t="shared" si="54"/>
        <v/>
      </c>
      <c r="AV102" s="34" t="str">
        <f t="shared" si="54"/>
        <v/>
      </c>
      <c r="AW102" s="34" t="str">
        <f t="shared" si="54"/>
        <v/>
      </c>
      <c r="AX102" s="34" t="str">
        <f t="shared" si="54"/>
        <v/>
      </c>
      <c r="AY102" s="34" t="str">
        <f t="shared" si="54"/>
        <v/>
      </c>
      <c r="AZ102" s="34" t="str">
        <f t="shared" si="54"/>
        <v/>
      </c>
      <c r="BA102" s="34" t="str">
        <f t="shared" si="55"/>
        <v/>
      </c>
      <c r="BB102" s="34" t="str">
        <f t="shared" si="55"/>
        <v/>
      </c>
      <c r="BC102" s="34" t="str">
        <f t="shared" si="50"/>
        <v/>
      </c>
      <c r="BD102" s="34" t="str">
        <f t="shared" si="50"/>
        <v/>
      </c>
      <c r="BE102" s="34" t="str">
        <f t="shared" si="50"/>
        <v/>
      </c>
      <c r="BF102" s="34" t="str">
        <f t="shared" si="50"/>
        <v/>
      </c>
      <c r="BG102" s="34" t="str">
        <f t="shared" si="50"/>
        <v/>
      </c>
      <c r="BH102" s="34" t="str">
        <f t="shared" si="55"/>
        <v/>
      </c>
      <c r="BI102" s="34" t="str">
        <f t="shared" si="55"/>
        <v/>
      </c>
      <c r="BJ102" s="34" t="str">
        <f t="shared" si="55"/>
        <v/>
      </c>
      <c r="BK102" s="34" t="str">
        <f t="shared" si="56"/>
        <v/>
      </c>
      <c r="BL102" s="34" t="str">
        <f t="shared" si="56"/>
        <v/>
      </c>
      <c r="BM102" s="34" t="str">
        <f t="shared" si="56"/>
        <v/>
      </c>
      <c r="BN102" s="34" t="str">
        <f t="shared" si="56"/>
        <v/>
      </c>
      <c r="BO102" s="34" t="str">
        <f t="shared" si="56"/>
        <v/>
      </c>
      <c r="BP102" s="34" t="str">
        <f t="shared" si="56"/>
        <v/>
      </c>
    </row>
    <row r="103" spans="2:68" outlineLevel="2" x14ac:dyDescent="0.25">
      <c r="B103" s="32">
        <f t="shared" si="58"/>
        <v>94</v>
      </c>
      <c r="C103" s="33" t="s">
        <v>6</v>
      </c>
      <c r="D103" s="34" t="s">
        <v>29</v>
      </c>
      <c r="E103" s="34"/>
      <c r="F103" s="40"/>
      <c r="G103" s="33"/>
      <c r="H103" s="35">
        <f t="shared" si="57"/>
        <v>46162</v>
      </c>
      <c r="I103" s="35" cm="1">
        <f t="array" ref="I103">IF(G103&lt;&gt;"",WORKDAY(Start,Duration-1),IF(Type="M",WORKDAY(Start,Duration-1),""))</f>
        <v>46162</v>
      </c>
      <c r="J103" s="44"/>
      <c r="K103" s="47" t="s">
        <v>98</v>
      </c>
      <c r="L103" s="34"/>
      <c r="M103" s="36" t="str">
        <f t="shared" si="39"/>
        <v/>
      </c>
      <c r="N103" s="34" t="str">
        <f t="shared" si="39"/>
        <v/>
      </c>
      <c r="O103" s="34" t="str">
        <f t="shared" si="39"/>
        <v/>
      </c>
      <c r="P103" s="34" t="str">
        <f t="shared" si="39"/>
        <v/>
      </c>
      <c r="Q103" s="34" t="str">
        <f t="shared" si="39"/>
        <v/>
      </c>
      <c r="R103" s="34" t="str">
        <f t="shared" ref="R103:X117" si="59">IF(AND(Type="M",Start=Date),"◆","")</f>
        <v/>
      </c>
      <c r="S103" s="34" t="str">
        <f t="shared" si="59"/>
        <v/>
      </c>
      <c r="T103" s="34" t="str">
        <f t="shared" si="51"/>
        <v/>
      </c>
      <c r="U103" s="34" t="str">
        <f t="shared" si="51"/>
        <v/>
      </c>
      <c r="V103" s="34" t="str">
        <f t="shared" si="51"/>
        <v/>
      </c>
      <c r="W103" s="34" t="str">
        <f t="shared" si="51"/>
        <v/>
      </c>
      <c r="X103" s="34" t="str">
        <f t="shared" si="51"/>
        <v/>
      </c>
      <c r="Y103" s="34" t="str">
        <f t="shared" ref="Y103:AF117" si="60">IF(AND(Type="M",Start=Date),"◆","")</f>
        <v/>
      </c>
      <c r="Z103" s="34" t="str">
        <f t="shared" si="60"/>
        <v/>
      </c>
      <c r="AA103" s="34" t="str">
        <f t="shared" si="48"/>
        <v/>
      </c>
      <c r="AB103" s="34" t="str">
        <f t="shared" si="48"/>
        <v/>
      </c>
      <c r="AC103" s="34" t="str">
        <f t="shared" si="47"/>
        <v/>
      </c>
      <c r="AD103" s="34" t="str">
        <f t="shared" si="47"/>
        <v/>
      </c>
      <c r="AE103" s="34" t="str">
        <f t="shared" si="47"/>
        <v/>
      </c>
      <c r="AF103" s="34" t="str">
        <f t="shared" si="60"/>
        <v/>
      </c>
      <c r="AG103" s="34" t="str">
        <f t="shared" ref="AG103:AS117" si="61">IF(AND(Type="M",Start=Date),"◆","")</f>
        <v/>
      </c>
      <c r="AH103" s="34" t="str">
        <f t="shared" si="49"/>
        <v/>
      </c>
      <c r="AI103" s="34" t="str">
        <f t="shared" si="49"/>
        <v/>
      </c>
      <c r="AJ103" s="34" t="str">
        <f t="shared" si="49"/>
        <v/>
      </c>
      <c r="AK103" s="34" t="str">
        <f t="shared" si="49"/>
        <v/>
      </c>
      <c r="AL103" s="34" t="str">
        <f t="shared" si="49"/>
        <v/>
      </c>
      <c r="AM103" s="34" t="str">
        <f t="shared" si="61"/>
        <v/>
      </c>
      <c r="AN103" s="34" t="str">
        <f t="shared" si="61"/>
        <v/>
      </c>
      <c r="AO103" s="34" t="str">
        <f t="shared" si="53"/>
        <v/>
      </c>
      <c r="AP103" s="34" t="str">
        <f t="shared" si="53"/>
        <v/>
      </c>
      <c r="AQ103" s="34" t="str">
        <f t="shared" si="53"/>
        <v/>
      </c>
      <c r="AR103" s="34" t="str">
        <f t="shared" si="53"/>
        <v/>
      </c>
      <c r="AS103" s="34" t="str">
        <f t="shared" si="53"/>
        <v/>
      </c>
      <c r="AT103" s="34" t="str">
        <f t="shared" ref="AT103:AZ117" si="62">IF(AND(Type="M",Start=Date),"◆","")</f>
        <v/>
      </c>
      <c r="AU103" s="34" t="str">
        <f t="shared" si="62"/>
        <v/>
      </c>
      <c r="AV103" s="34" t="str">
        <f t="shared" si="54"/>
        <v/>
      </c>
      <c r="AW103" s="34" t="str">
        <f t="shared" si="54"/>
        <v/>
      </c>
      <c r="AX103" s="34" t="str">
        <f t="shared" si="54"/>
        <v/>
      </c>
      <c r="AY103" s="34" t="str">
        <f t="shared" si="54"/>
        <v/>
      </c>
      <c r="AZ103" s="34" t="str">
        <f t="shared" si="54"/>
        <v/>
      </c>
      <c r="BA103" s="34" t="str">
        <f t="shared" ref="BA103:BJ117" si="63">IF(AND(Type="M",Start=Date),"◆","")</f>
        <v/>
      </c>
      <c r="BB103" s="34" t="str">
        <f t="shared" si="63"/>
        <v/>
      </c>
      <c r="BC103" s="34" t="str">
        <f t="shared" si="50"/>
        <v/>
      </c>
      <c r="BD103" s="34" t="str">
        <f t="shared" si="50"/>
        <v/>
      </c>
      <c r="BE103" s="34" t="str">
        <f t="shared" si="50"/>
        <v/>
      </c>
      <c r="BF103" s="34" t="str">
        <f t="shared" si="50"/>
        <v/>
      </c>
      <c r="BG103" s="34" t="str">
        <f t="shared" si="50"/>
        <v/>
      </c>
      <c r="BH103" s="34" t="str">
        <f t="shared" si="63"/>
        <v/>
      </c>
      <c r="BI103" s="34" t="str">
        <f t="shared" si="63"/>
        <v/>
      </c>
      <c r="BJ103" s="34" t="str">
        <f t="shared" si="63"/>
        <v/>
      </c>
      <c r="BK103" s="34" t="str">
        <f t="shared" ref="BK103:BP117" si="64">IF(AND(Type="M",Start=Date),"◆","")</f>
        <v/>
      </c>
      <c r="BL103" s="34" t="str">
        <f t="shared" si="64"/>
        <v/>
      </c>
      <c r="BM103" s="34" t="str">
        <f t="shared" si="64"/>
        <v/>
      </c>
      <c r="BN103" s="34" t="str">
        <f t="shared" si="64"/>
        <v/>
      </c>
      <c r="BO103" s="34" t="str">
        <f t="shared" si="64"/>
        <v/>
      </c>
      <c r="BP103" s="34" t="str">
        <f t="shared" si="64"/>
        <v/>
      </c>
    </row>
    <row r="104" spans="2:68" outlineLevel="1" x14ac:dyDescent="0.25">
      <c r="B104" s="32">
        <f t="shared" si="58"/>
        <v>95</v>
      </c>
      <c r="C104" s="33" t="s">
        <v>1</v>
      </c>
      <c r="D104" s="34" t="s">
        <v>452</v>
      </c>
      <c r="E104" s="34"/>
      <c r="F104" s="40"/>
      <c r="G104" s="33">
        <f>SUM(G105:G108)</f>
        <v>32</v>
      </c>
      <c r="H104" s="35">
        <f t="shared" si="57"/>
        <v>46163</v>
      </c>
      <c r="I104" s="35" cm="1">
        <f t="array" ref="I104">IF(G104&lt;&gt;"",WORKDAY(Start,Duration-1),IF(Type="M",WORKDAY(Start,Duration-1),""))</f>
        <v>46206</v>
      </c>
      <c r="J104" s="44"/>
      <c r="K104" s="47" t="s">
        <v>98</v>
      </c>
      <c r="L104" s="34"/>
      <c r="M104" s="36" t="str">
        <f t="shared" si="39"/>
        <v/>
      </c>
      <c r="N104" s="34" t="str">
        <f t="shared" si="39"/>
        <v/>
      </c>
      <c r="O104" s="34" t="str">
        <f t="shared" si="39"/>
        <v/>
      </c>
      <c r="P104" s="34" t="str">
        <f t="shared" si="39"/>
        <v/>
      </c>
      <c r="Q104" s="34" t="str">
        <f t="shared" si="39"/>
        <v/>
      </c>
      <c r="R104" s="34" t="str">
        <f t="shared" si="59"/>
        <v/>
      </c>
      <c r="S104" s="34" t="str">
        <f t="shared" si="59"/>
        <v/>
      </c>
      <c r="T104" s="34" t="str">
        <f t="shared" si="51"/>
        <v/>
      </c>
      <c r="U104" s="34" t="str">
        <f t="shared" si="51"/>
        <v/>
      </c>
      <c r="V104" s="34" t="str">
        <f t="shared" si="51"/>
        <v/>
      </c>
      <c r="W104" s="34" t="str">
        <f t="shared" si="51"/>
        <v/>
      </c>
      <c r="X104" s="34" t="str">
        <f t="shared" si="51"/>
        <v/>
      </c>
      <c r="Y104" s="34" t="str">
        <f t="shared" si="60"/>
        <v/>
      </c>
      <c r="Z104" s="34" t="str">
        <f t="shared" si="60"/>
        <v/>
      </c>
      <c r="AA104" s="34" t="str">
        <f t="shared" si="48"/>
        <v/>
      </c>
      <c r="AB104" s="34" t="str">
        <f t="shared" si="48"/>
        <v/>
      </c>
      <c r="AC104" s="34" t="str">
        <f t="shared" si="47"/>
        <v/>
      </c>
      <c r="AD104" s="34" t="str">
        <f t="shared" si="47"/>
        <v/>
      </c>
      <c r="AE104" s="34" t="str">
        <f t="shared" si="47"/>
        <v/>
      </c>
      <c r="AF104" s="34" t="str">
        <f t="shared" si="60"/>
        <v/>
      </c>
      <c r="AG104" s="34" t="str">
        <f t="shared" si="61"/>
        <v/>
      </c>
      <c r="AH104" s="34" t="str">
        <f t="shared" si="49"/>
        <v/>
      </c>
      <c r="AI104" s="34" t="str">
        <f t="shared" si="49"/>
        <v/>
      </c>
      <c r="AJ104" s="34" t="str">
        <f t="shared" si="49"/>
        <v/>
      </c>
      <c r="AK104" s="34" t="str">
        <f t="shared" si="49"/>
        <v/>
      </c>
      <c r="AL104" s="34" t="str">
        <f t="shared" si="49"/>
        <v/>
      </c>
      <c r="AM104" s="34" t="str">
        <f t="shared" si="61"/>
        <v/>
      </c>
      <c r="AN104" s="34" t="str">
        <f t="shared" si="61"/>
        <v/>
      </c>
      <c r="AO104" s="34" t="str">
        <f t="shared" si="53"/>
        <v/>
      </c>
      <c r="AP104" s="34" t="str">
        <f t="shared" si="53"/>
        <v/>
      </c>
      <c r="AQ104" s="34" t="str">
        <f t="shared" si="53"/>
        <v/>
      </c>
      <c r="AR104" s="34" t="str">
        <f t="shared" si="53"/>
        <v/>
      </c>
      <c r="AS104" s="34" t="str">
        <f t="shared" si="53"/>
        <v/>
      </c>
      <c r="AT104" s="34" t="str">
        <f t="shared" si="62"/>
        <v/>
      </c>
      <c r="AU104" s="34" t="str">
        <f t="shared" si="62"/>
        <v/>
      </c>
      <c r="AV104" s="34" t="str">
        <f t="shared" si="54"/>
        <v/>
      </c>
      <c r="AW104" s="34" t="str">
        <f t="shared" si="54"/>
        <v/>
      </c>
      <c r="AX104" s="34" t="str">
        <f t="shared" si="54"/>
        <v/>
      </c>
      <c r="AY104" s="34" t="str">
        <f t="shared" si="54"/>
        <v/>
      </c>
      <c r="AZ104" s="34" t="str">
        <f t="shared" si="54"/>
        <v/>
      </c>
      <c r="BA104" s="34" t="str">
        <f t="shared" si="63"/>
        <v/>
      </c>
      <c r="BB104" s="34" t="str">
        <f t="shared" si="63"/>
        <v/>
      </c>
      <c r="BC104" s="34" t="str">
        <f t="shared" si="50"/>
        <v/>
      </c>
      <c r="BD104" s="34" t="str">
        <f t="shared" si="50"/>
        <v/>
      </c>
      <c r="BE104" s="34" t="str">
        <f t="shared" si="50"/>
        <v/>
      </c>
      <c r="BF104" s="34" t="str">
        <f t="shared" si="50"/>
        <v/>
      </c>
      <c r="BG104" s="34" t="str">
        <f t="shared" si="50"/>
        <v/>
      </c>
      <c r="BH104" s="34" t="str">
        <f t="shared" si="63"/>
        <v/>
      </c>
      <c r="BI104" s="34" t="str">
        <f t="shared" si="63"/>
        <v/>
      </c>
      <c r="BJ104" s="34" t="str">
        <f t="shared" si="63"/>
        <v/>
      </c>
      <c r="BK104" s="34" t="str">
        <f t="shared" si="64"/>
        <v/>
      </c>
      <c r="BL104" s="34" t="str">
        <f t="shared" si="64"/>
        <v/>
      </c>
      <c r="BM104" s="34" t="str">
        <f t="shared" si="64"/>
        <v/>
      </c>
      <c r="BN104" s="34" t="str">
        <f t="shared" si="64"/>
        <v/>
      </c>
      <c r="BO104" s="34" t="str">
        <f t="shared" si="64"/>
        <v/>
      </c>
      <c r="BP104" s="34" t="str">
        <f t="shared" si="64"/>
        <v/>
      </c>
    </row>
    <row r="105" spans="2:68" outlineLevel="2" x14ac:dyDescent="0.25">
      <c r="B105" s="32">
        <f t="shared" si="58"/>
        <v>96</v>
      </c>
      <c r="C105" s="33" t="s">
        <v>5</v>
      </c>
      <c r="D105" s="2" t="s">
        <v>677</v>
      </c>
      <c r="E105" s="34"/>
      <c r="F105" s="40"/>
      <c r="G105" s="33">
        <v>30</v>
      </c>
      <c r="H105" s="35">
        <f>H104</f>
        <v>46163</v>
      </c>
      <c r="I105" s="35" cm="1">
        <f t="array" ref="I105">IF(G105&lt;&gt;"",WORKDAY(Start,Duration-1),IF(Type="M",WORKDAY(Start,Duration-1),""))</f>
        <v>46204</v>
      </c>
      <c r="J105" s="44"/>
      <c r="K105" s="47" t="s">
        <v>220</v>
      </c>
      <c r="L105" s="34" t="s">
        <v>401</v>
      </c>
      <c r="M105" s="36" t="str">
        <f t="shared" si="39"/>
        <v/>
      </c>
      <c r="N105" s="34" t="str">
        <f t="shared" si="39"/>
        <v/>
      </c>
      <c r="O105" s="34" t="str">
        <f t="shared" si="39"/>
        <v/>
      </c>
      <c r="P105" s="34" t="str">
        <f t="shared" si="39"/>
        <v/>
      </c>
      <c r="Q105" s="34" t="str">
        <f t="shared" si="39"/>
        <v/>
      </c>
      <c r="R105" s="34" t="str">
        <f t="shared" si="59"/>
        <v/>
      </c>
      <c r="S105" s="34" t="str">
        <f t="shared" si="59"/>
        <v/>
      </c>
      <c r="T105" s="34" t="str">
        <f t="shared" si="59"/>
        <v/>
      </c>
      <c r="U105" s="34" t="str">
        <f t="shared" si="59"/>
        <v/>
      </c>
      <c r="V105" s="34" t="str">
        <f t="shared" si="59"/>
        <v/>
      </c>
      <c r="W105" s="34" t="str">
        <f t="shared" si="59"/>
        <v/>
      </c>
      <c r="X105" s="34" t="str">
        <f t="shared" si="59"/>
        <v/>
      </c>
      <c r="Y105" s="34" t="str">
        <f t="shared" si="60"/>
        <v/>
      </c>
      <c r="Z105" s="34" t="str">
        <f t="shared" si="60"/>
        <v/>
      </c>
      <c r="AA105" s="34" t="str">
        <f t="shared" si="48"/>
        <v/>
      </c>
      <c r="AB105" s="34" t="str">
        <f t="shared" si="48"/>
        <v/>
      </c>
      <c r="AC105" s="34" t="str">
        <f t="shared" si="47"/>
        <v/>
      </c>
      <c r="AD105" s="34" t="str">
        <f t="shared" si="47"/>
        <v/>
      </c>
      <c r="AE105" s="34" t="str">
        <f t="shared" si="47"/>
        <v/>
      </c>
      <c r="AF105" s="34" t="str">
        <f t="shared" si="60"/>
        <v/>
      </c>
      <c r="AG105" s="34" t="str">
        <f t="shared" si="61"/>
        <v/>
      </c>
      <c r="AH105" s="34" t="str">
        <f t="shared" si="49"/>
        <v/>
      </c>
      <c r="AI105" s="34" t="str">
        <f t="shared" si="49"/>
        <v/>
      </c>
      <c r="AJ105" s="34" t="str">
        <f t="shared" si="49"/>
        <v/>
      </c>
      <c r="AK105" s="34" t="str">
        <f t="shared" si="49"/>
        <v/>
      </c>
      <c r="AL105" s="34" t="str">
        <f t="shared" si="49"/>
        <v/>
      </c>
      <c r="AM105" s="34" t="str">
        <f t="shared" si="61"/>
        <v/>
      </c>
      <c r="AN105" s="34" t="str">
        <f t="shared" si="61"/>
        <v/>
      </c>
      <c r="AO105" s="34" t="str">
        <f t="shared" si="61"/>
        <v/>
      </c>
      <c r="AP105" s="34" t="str">
        <f t="shared" si="61"/>
        <v/>
      </c>
      <c r="AQ105" s="34" t="str">
        <f t="shared" si="61"/>
        <v/>
      </c>
      <c r="AR105" s="34" t="str">
        <f t="shared" si="61"/>
        <v/>
      </c>
      <c r="AS105" s="34" t="str">
        <f t="shared" si="61"/>
        <v/>
      </c>
      <c r="AT105" s="34" t="str">
        <f t="shared" si="62"/>
        <v/>
      </c>
      <c r="AU105" s="34" t="str">
        <f t="shared" si="62"/>
        <v/>
      </c>
      <c r="AV105" s="34" t="str">
        <f t="shared" si="62"/>
        <v/>
      </c>
      <c r="AW105" s="34" t="str">
        <f t="shared" si="62"/>
        <v/>
      </c>
      <c r="AX105" s="34" t="str">
        <f t="shared" si="62"/>
        <v/>
      </c>
      <c r="AY105" s="34" t="str">
        <f t="shared" si="62"/>
        <v/>
      </c>
      <c r="AZ105" s="34" t="str">
        <f t="shared" si="62"/>
        <v/>
      </c>
      <c r="BA105" s="34" t="str">
        <f t="shared" si="63"/>
        <v/>
      </c>
      <c r="BB105" s="34" t="str">
        <f t="shared" si="63"/>
        <v/>
      </c>
      <c r="BC105" s="34" t="str">
        <f t="shared" si="50"/>
        <v/>
      </c>
      <c r="BD105" s="34" t="str">
        <f t="shared" si="50"/>
        <v/>
      </c>
      <c r="BE105" s="34" t="str">
        <f t="shared" si="50"/>
        <v/>
      </c>
      <c r="BF105" s="34" t="str">
        <f t="shared" si="50"/>
        <v/>
      </c>
      <c r="BG105" s="34" t="str">
        <f t="shared" si="50"/>
        <v/>
      </c>
      <c r="BH105" s="34" t="str">
        <f t="shared" si="63"/>
        <v/>
      </c>
      <c r="BI105" s="34" t="str">
        <f t="shared" si="63"/>
        <v/>
      </c>
      <c r="BJ105" s="34" t="str">
        <f t="shared" si="63"/>
        <v/>
      </c>
      <c r="BK105" s="34" t="str">
        <f t="shared" si="64"/>
        <v/>
      </c>
      <c r="BL105" s="34" t="str">
        <f t="shared" si="64"/>
        <v/>
      </c>
      <c r="BM105" s="34" t="str">
        <f t="shared" si="64"/>
        <v/>
      </c>
      <c r="BN105" s="34" t="str">
        <f t="shared" si="64"/>
        <v/>
      </c>
      <c r="BO105" s="34" t="str">
        <f t="shared" si="64"/>
        <v/>
      </c>
      <c r="BP105" s="34" t="str">
        <f t="shared" si="64"/>
        <v/>
      </c>
    </row>
    <row r="106" spans="2:68" outlineLevel="2" x14ac:dyDescent="0.25">
      <c r="B106" s="32">
        <f t="shared" si="58"/>
        <v>97</v>
      </c>
      <c r="C106" s="33" t="s">
        <v>5</v>
      </c>
      <c r="D106" s="34" t="s">
        <v>427</v>
      </c>
      <c r="E106" s="34"/>
      <c r="F106" s="40"/>
      <c r="G106" s="33">
        <v>1</v>
      </c>
      <c r="H106" s="35">
        <f t="shared" ref="H106:H107" si="65">IF(Type&lt;&gt;"M",WORKDAY(I105,1),I105)</f>
        <v>46205</v>
      </c>
      <c r="I106" s="35" cm="1">
        <f t="array" ref="I106">IF(G106&lt;&gt;"",WORKDAY(Start,Duration-1),IF(Type="M",WORKDAY(Start,Duration-1),""))</f>
        <v>46205</v>
      </c>
      <c r="J106" s="44"/>
      <c r="K106" s="47" t="s">
        <v>98</v>
      </c>
      <c r="L106" s="34"/>
      <c r="M106" s="36" t="str">
        <f t="shared" ref="M106:Q143" si="66">IF(AND(Type="M",Start=Date),"◆","")</f>
        <v/>
      </c>
      <c r="N106" s="34" t="str">
        <f t="shared" si="66"/>
        <v/>
      </c>
      <c r="O106" s="34" t="str">
        <f t="shared" si="66"/>
        <v/>
      </c>
      <c r="P106" s="34" t="str">
        <f t="shared" si="66"/>
        <v/>
      </c>
      <c r="Q106" s="34" t="str">
        <f t="shared" si="66"/>
        <v/>
      </c>
      <c r="R106" s="34"/>
      <c r="S106" s="34"/>
      <c r="T106" s="34" t="str">
        <f t="shared" ref="T106:X112" si="67">IF(AND(Type="M",Start=Date),"◆","")</f>
        <v/>
      </c>
      <c r="U106" s="34" t="str">
        <f t="shared" si="67"/>
        <v/>
      </c>
      <c r="V106" s="34" t="str">
        <f t="shared" si="67"/>
        <v/>
      </c>
      <c r="W106" s="34" t="str">
        <f t="shared" si="67"/>
        <v/>
      </c>
      <c r="X106" s="34" t="str">
        <f t="shared" si="67"/>
        <v/>
      </c>
      <c r="Y106" s="34"/>
      <c r="Z106" s="34"/>
      <c r="AA106" s="34" t="str">
        <f t="shared" ref="AA106:AE115" si="68">IF(AND(Type="M",Start=Date),"◆","")</f>
        <v/>
      </c>
      <c r="AB106" s="34" t="str">
        <f t="shared" si="68"/>
        <v/>
      </c>
      <c r="AC106" s="34" t="str">
        <f t="shared" si="68"/>
        <v/>
      </c>
      <c r="AD106" s="34" t="str">
        <f t="shared" si="68"/>
        <v/>
      </c>
      <c r="AE106" s="34" t="str">
        <f t="shared" si="68"/>
        <v/>
      </c>
      <c r="AF106" s="34"/>
      <c r="AG106" s="34"/>
      <c r="AH106" s="34" t="str">
        <f t="shared" ref="AH106:AL151" si="69">IF(AND(Type="M",Start=Date),"◆","")</f>
        <v/>
      </c>
      <c r="AI106" s="34" t="str">
        <f t="shared" si="69"/>
        <v/>
      </c>
      <c r="AJ106" s="34" t="str">
        <f t="shared" si="69"/>
        <v/>
      </c>
      <c r="AK106" s="34" t="str">
        <f t="shared" si="69"/>
        <v/>
      </c>
      <c r="AL106" s="34" t="str">
        <f t="shared" si="69"/>
        <v/>
      </c>
      <c r="AM106" s="34"/>
      <c r="AN106" s="34"/>
      <c r="AO106" s="34" t="str">
        <f t="shared" ref="AO106:AS112" si="70">IF(AND(Type="M",Start=Date),"◆","")</f>
        <v/>
      </c>
      <c r="AP106" s="34" t="str">
        <f t="shared" si="70"/>
        <v/>
      </c>
      <c r="AQ106" s="34" t="str">
        <f t="shared" si="70"/>
        <v/>
      </c>
      <c r="AR106" s="34" t="str">
        <f t="shared" si="70"/>
        <v/>
      </c>
      <c r="AS106" s="34" t="str">
        <f t="shared" si="70"/>
        <v/>
      </c>
      <c r="AT106" s="34"/>
      <c r="AU106" s="34"/>
      <c r="AV106" s="34" t="str">
        <f t="shared" ref="AV106:AZ112" si="71">IF(AND(Type="M",Start=Date),"◆","")</f>
        <v/>
      </c>
      <c r="AW106" s="34" t="str">
        <f t="shared" si="71"/>
        <v/>
      </c>
      <c r="AX106" s="34" t="str">
        <f t="shared" si="71"/>
        <v/>
      </c>
      <c r="AY106" s="34" t="str">
        <f t="shared" si="71"/>
        <v/>
      </c>
      <c r="AZ106" s="34" t="str">
        <f t="shared" si="71"/>
        <v/>
      </c>
      <c r="BA106" s="34"/>
      <c r="BB106" s="34"/>
      <c r="BC106" s="34" t="str">
        <f t="shared" ref="BC106:BG151" si="72">IF(AND(Type="M",Start=Date),"◆","")</f>
        <v/>
      </c>
      <c r="BD106" s="34" t="str">
        <f t="shared" si="72"/>
        <v/>
      </c>
      <c r="BE106" s="34" t="str">
        <f t="shared" si="72"/>
        <v/>
      </c>
      <c r="BF106" s="34" t="str">
        <f t="shared" si="72"/>
        <v/>
      </c>
      <c r="BG106" s="34" t="str">
        <f t="shared" si="72"/>
        <v/>
      </c>
      <c r="BH106" s="34"/>
      <c r="BI106" s="34"/>
      <c r="BJ106" s="34"/>
      <c r="BK106" s="34"/>
      <c r="BL106" s="34"/>
      <c r="BM106" s="34"/>
      <c r="BN106" s="34"/>
      <c r="BO106" s="34"/>
      <c r="BP106" s="34"/>
    </row>
    <row r="107" spans="2:68" outlineLevel="2" x14ac:dyDescent="0.25">
      <c r="B107" s="32">
        <f t="shared" si="58"/>
        <v>98</v>
      </c>
      <c r="C107" s="33" t="s">
        <v>5</v>
      </c>
      <c r="D107" s="34" t="s">
        <v>55</v>
      </c>
      <c r="E107" s="34"/>
      <c r="F107" s="40"/>
      <c r="G107" s="33">
        <v>1</v>
      </c>
      <c r="H107" s="35">
        <f t="shared" si="65"/>
        <v>46206</v>
      </c>
      <c r="I107" s="35" cm="1">
        <f t="array" ref="I107">IF(G107&lt;&gt;"",WORKDAY(Start,Duration-1),IF(Type="M",WORKDAY(Start,Duration-1),""))</f>
        <v>46206</v>
      </c>
      <c r="J107" s="44"/>
      <c r="K107" s="47" t="s">
        <v>98</v>
      </c>
      <c r="L107" s="34"/>
      <c r="M107" s="36" t="str">
        <f t="shared" si="66"/>
        <v/>
      </c>
      <c r="N107" s="34" t="str">
        <f t="shared" si="66"/>
        <v/>
      </c>
      <c r="O107" s="34" t="str">
        <f t="shared" si="66"/>
        <v/>
      </c>
      <c r="P107" s="34" t="str">
        <f t="shared" si="66"/>
        <v/>
      </c>
      <c r="Q107" s="34" t="str">
        <f t="shared" si="66"/>
        <v/>
      </c>
      <c r="R107" s="34"/>
      <c r="S107" s="34"/>
      <c r="T107" s="34" t="str">
        <f t="shared" si="67"/>
        <v/>
      </c>
      <c r="U107" s="34" t="str">
        <f t="shared" si="67"/>
        <v/>
      </c>
      <c r="V107" s="34" t="str">
        <f t="shared" si="67"/>
        <v/>
      </c>
      <c r="W107" s="34" t="str">
        <f t="shared" si="67"/>
        <v/>
      </c>
      <c r="X107" s="34" t="str">
        <f t="shared" si="67"/>
        <v/>
      </c>
      <c r="Y107" s="34"/>
      <c r="Z107" s="34"/>
      <c r="AA107" s="34" t="str">
        <f t="shared" si="68"/>
        <v/>
      </c>
      <c r="AB107" s="34" t="str">
        <f t="shared" si="68"/>
        <v/>
      </c>
      <c r="AC107" s="34" t="str">
        <f t="shared" si="68"/>
        <v/>
      </c>
      <c r="AD107" s="34" t="str">
        <f t="shared" si="68"/>
        <v/>
      </c>
      <c r="AE107" s="34" t="str">
        <f t="shared" si="68"/>
        <v/>
      </c>
      <c r="AF107" s="34"/>
      <c r="AG107" s="34"/>
      <c r="AH107" s="34" t="str">
        <f t="shared" si="69"/>
        <v/>
      </c>
      <c r="AI107" s="34" t="str">
        <f t="shared" si="69"/>
        <v/>
      </c>
      <c r="AJ107" s="34" t="str">
        <f t="shared" si="69"/>
        <v/>
      </c>
      <c r="AK107" s="34" t="str">
        <f t="shared" si="69"/>
        <v/>
      </c>
      <c r="AL107" s="34" t="str">
        <f t="shared" si="69"/>
        <v/>
      </c>
      <c r="AM107" s="34"/>
      <c r="AN107" s="34"/>
      <c r="AO107" s="34" t="str">
        <f t="shared" si="70"/>
        <v/>
      </c>
      <c r="AP107" s="34" t="str">
        <f t="shared" si="70"/>
        <v/>
      </c>
      <c r="AQ107" s="34" t="str">
        <f t="shared" si="70"/>
        <v/>
      </c>
      <c r="AR107" s="34" t="str">
        <f t="shared" si="70"/>
        <v/>
      </c>
      <c r="AS107" s="34" t="str">
        <f t="shared" si="70"/>
        <v/>
      </c>
      <c r="AT107" s="34"/>
      <c r="AU107" s="34"/>
      <c r="AV107" s="34" t="str">
        <f t="shared" si="71"/>
        <v/>
      </c>
      <c r="AW107" s="34" t="str">
        <f t="shared" si="71"/>
        <v/>
      </c>
      <c r="AX107" s="34" t="str">
        <f t="shared" si="71"/>
        <v/>
      </c>
      <c r="AY107" s="34" t="str">
        <f t="shared" si="71"/>
        <v/>
      </c>
      <c r="AZ107" s="34" t="str">
        <f t="shared" si="71"/>
        <v/>
      </c>
      <c r="BA107" s="34"/>
      <c r="BB107" s="34"/>
      <c r="BC107" s="34" t="str">
        <f t="shared" si="72"/>
        <v/>
      </c>
      <c r="BD107" s="34" t="str">
        <f t="shared" si="72"/>
        <v/>
      </c>
      <c r="BE107" s="34" t="str">
        <f t="shared" si="72"/>
        <v/>
      </c>
      <c r="BF107" s="34" t="str">
        <f t="shared" si="72"/>
        <v/>
      </c>
      <c r="BG107" s="34" t="str">
        <f t="shared" si="72"/>
        <v/>
      </c>
      <c r="BH107" s="34"/>
      <c r="BI107" s="34"/>
      <c r="BJ107" s="34"/>
      <c r="BK107" s="34"/>
      <c r="BL107" s="34"/>
      <c r="BM107" s="34"/>
      <c r="BN107" s="34"/>
      <c r="BO107" s="34"/>
      <c r="BP107" s="34"/>
    </row>
    <row r="108" spans="2:68" outlineLevel="2" x14ac:dyDescent="0.25">
      <c r="B108" s="32">
        <f t="shared" si="58"/>
        <v>99</v>
      </c>
      <c r="C108" s="33" t="s">
        <v>6</v>
      </c>
      <c r="D108" s="34" t="s">
        <v>63</v>
      </c>
      <c r="E108" s="34"/>
      <c r="F108" s="40"/>
      <c r="G108" s="33"/>
      <c r="H108" s="35">
        <f t="shared" ref="H108:H162" si="73">IF(Type&lt;&gt;"M",WORKDAY(I107,1),I107)</f>
        <v>46206</v>
      </c>
      <c r="I108" s="35" cm="1">
        <f t="array" ref="I108">IF(G108&lt;&gt;"",WORKDAY(Start,Duration-1),IF(Type="M",WORKDAY(Start,Duration-1),""))</f>
        <v>46206</v>
      </c>
      <c r="J108" s="44"/>
      <c r="K108" s="47" t="s">
        <v>98</v>
      </c>
      <c r="L108" s="34" t="s">
        <v>421</v>
      </c>
      <c r="M108" s="36" t="str">
        <f t="shared" si="66"/>
        <v/>
      </c>
      <c r="N108" s="34" t="str">
        <f t="shared" si="66"/>
        <v/>
      </c>
      <c r="O108" s="34" t="str">
        <f t="shared" si="66"/>
        <v/>
      </c>
      <c r="P108" s="34" t="str">
        <f t="shared" si="66"/>
        <v/>
      </c>
      <c r="Q108" s="34" t="str">
        <f t="shared" si="66"/>
        <v/>
      </c>
      <c r="R108" s="34"/>
      <c r="S108" s="34"/>
      <c r="T108" s="34" t="str">
        <f t="shared" si="67"/>
        <v/>
      </c>
      <c r="U108" s="34" t="str">
        <f t="shared" si="67"/>
        <v/>
      </c>
      <c r="V108" s="34" t="str">
        <f t="shared" si="67"/>
        <v/>
      </c>
      <c r="W108" s="34" t="str">
        <f t="shared" si="67"/>
        <v/>
      </c>
      <c r="X108" s="34" t="str">
        <f t="shared" si="67"/>
        <v/>
      </c>
      <c r="Y108" s="34"/>
      <c r="Z108" s="34"/>
      <c r="AA108" s="34" t="str">
        <f t="shared" si="68"/>
        <v/>
      </c>
      <c r="AB108" s="34" t="str">
        <f t="shared" si="68"/>
        <v/>
      </c>
      <c r="AC108" s="34" t="str">
        <f t="shared" si="68"/>
        <v/>
      </c>
      <c r="AD108" s="34" t="str">
        <f t="shared" si="68"/>
        <v/>
      </c>
      <c r="AE108" s="34" t="str">
        <f t="shared" si="68"/>
        <v/>
      </c>
      <c r="AF108" s="34"/>
      <c r="AG108" s="34"/>
      <c r="AH108" s="34" t="str">
        <f t="shared" si="69"/>
        <v/>
      </c>
      <c r="AI108" s="34" t="str">
        <f t="shared" si="69"/>
        <v/>
      </c>
      <c r="AJ108" s="34" t="str">
        <f t="shared" si="69"/>
        <v/>
      </c>
      <c r="AK108" s="34" t="str">
        <f t="shared" si="69"/>
        <v/>
      </c>
      <c r="AL108" s="34" t="str">
        <f t="shared" si="69"/>
        <v/>
      </c>
      <c r="AM108" s="34"/>
      <c r="AN108" s="34"/>
      <c r="AO108" s="34" t="str">
        <f t="shared" si="70"/>
        <v/>
      </c>
      <c r="AP108" s="34" t="str">
        <f t="shared" si="70"/>
        <v/>
      </c>
      <c r="AQ108" s="34" t="str">
        <f t="shared" si="70"/>
        <v/>
      </c>
      <c r="AR108" s="34" t="str">
        <f t="shared" si="70"/>
        <v/>
      </c>
      <c r="AS108" s="34" t="str">
        <f t="shared" si="70"/>
        <v/>
      </c>
      <c r="AT108" s="34"/>
      <c r="AU108" s="34"/>
      <c r="AV108" s="34" t="str">
        <f t="shared" si="71"/>
        <v/>
      </c>
      <c r="AW108" s="34" t="str">
        <f t="shared" si="71"/>
        <v/>
      </c>
      <c r="AX108" s="34" t="str">
        <f t="shared" si="71"/>
        <v/>
      </c>
      <c r="AY108" s="34" t="str">
        <f t="shared" si="71"/>
        <v/>
      </c>
      <c r="AZ108" s="34" t="str">
        <f t="shared" si="71"/>
        <v/>
      </c>
      <c r="BA108" s="34"/>
      <c r="BB108" s="34"/>
      <c r="BC108" s="34" t="str">
        <f t="shared" si="72"/>
        <v/>
      </c>
      <c r="BD108" s="34" t="str">
        <f t="shared" si="72"/>
        <v/>
      </c>
      <c r="BE108" s="34" t="str">
        <f t="shared" si="72"/>
        <v/>
      </c>
      <c r="BF108" s="34" t="str">
        <f t="shared" si="72"/>
        <v/>
      </c>
      <c r="BG108" s="34" t="str">
        <f t="shared" si="72"/>
        <v/>
      </c>
      <c r="BH108" s="34"/>
      <c r="BI108" s="34"/>
      <c r="BJ108" s="34"/>
      <c r="BK108" s="34"/>
      <c r="BL108" s="34"/>
      <c r="BM108" s="34"/>
      <c r="BN108" s="34"/>
      <c r="BO108" s="34"/>
      <c r="BP108" s="34"/>
    </row>
    <row r="109" spans="2:68" outlineLevel="1" x14ac:dyDescent="0.25">
      <c r="B109" s="32">
        <f t="shared" si="58"/>
        <v>100</v>
      </c>
      <c r="C109" s="33" t="s">
        <v>1</v>
      </c>
      <c r="D109" s="34" t="s">
        <v>511</v>
      </c>
      <c r="E109" s="34"/>
      <c r="F109" s="40"/>
      <c r="G109" s="33">
        <f>SUM(G110:G112)</f>
        <v>90</v>
      </c>
      <c r="H109" s="35">
        <f t="shared" si="73"/>
        <v>46209</v>
      </c>
      <c r="I109" s="35" cm="1">
        <f t="array" ref="I109">IF(G109&lt;&gt;"",WORKDAY(Start,Duration-1),IF(Type="M",WORKDAY(Start,Duration-1),""))</f>
        <v>46332</v>
      </c>
      <c r="J109" s="44"/>
      <c r="K109" s="47"/>
      <c r="L109" s="34"/>
      <c r="M109" s="36" t="str">
        <f t="shared" si="66"/>
        <v/>
      </c>
      <c r="N109" s="34" t="str">
        <f t="shared" si="66"/>
        <v/>
      </c>
      <c r="O109" s="34" t="str">
        <f t="shared" si="66"/>
        <v/>
      </c>
      <c r="P109" s="34" t="str">
        <f t="shared" si="66"/>
        <v/>
      </c>
      <c r="Q109" s="34" t="str">
        <f t="shared" si="66"/>
        <v/>
      </c>
      <c r="R109" s="34"/>
      <c r="S109" s="34"/>
      <c r="T109" s="34" t="str">
        <f t="shared" si="67"/>
        <v/>
      </c>
      <c r="U109" s="34" t="str">
        <f t="shared" si="67"/>
        <v/>
      </c>
      <c r="V109" s="34" t="str">
        <f t="shared" si="67"/>
        <v/>
      </c>
      <c r="W109" s="34" t="str">
        <f t="shared" si="67"/>
        <v/>
      </c>
      <c r="X109" s="34" t="str">
        <f t="shared" si="67"/>
        <v/>
      </c>
      <c r="Y109" s="34"/>
      <c r="Z109" s="34"/>
      <c r="AA109" s="34" t="str">
        <f t="shared" si="68"/>
        <v/>
      </c>
      <c r="AB109" s="34" t="str">
        <f t="shared" si="68"/>
        <v/>
      </c>
      <c r="AC109" s="34" t="str">
        <f t="shared" si="68"/>
        <v/>
      </c>
      <c r="AD109" s="34" t="str">
        <f t="shared" si="68"/>
        <v/>
      </c>
      <c r="AE109" s="34" t="str">
        <f t="shared" si="68"/>
        <v/>
      </c>
      <c r="AF109" s="34"/>
      <c r="AG109" s="34"/>
      <c r="AH109" s="34" t="str">
        <f t="shared" si="69"/>
        <v/>
      </c>
      <c r="AI109" s="34" t="str">
        <f t="shared" si="69"/>
        <v/>
      </c>
      <c r="AJ109" s="34" t="str">
        <f t="shared" si="69"/>
        <v/>
      </c>
      <c r="AK109" s="34" t="str">
        <f t="shared" si="69"/>
        <v/>
      </c>
      <c r="AL109" s="34" t="str">
        <f t="shared" si="69"/>
        <v/>
      </c>
      <c r="AM109" s="34"/>
      <c r="AN109" s="34"/>
      <c r="AO109" s="34" t="str">
        <f t="shared" si="70"/>
        <v/>
      </c>
      <c r="AP109" s="34" t="str">
        <f t="shared" si="70"/>
        <v/>
      </c>
      <c r="AQ109" s="34" t="str">
        <f t="shared" si="70"/>
        <v/>
      </c>
      <c r="AR109" s="34" t="str">
        <f t="shared" si="70"/>
        <v/>
      </c>
      <c r="AS109" s="34" t="str">
        <f t="shared" si="70"/>
        <v/>
      </c>
      <c r="AT109" s="34"/>
      <c r="AU109" s="34"/>
      <c r="AV109" s="34" t="str">
        <f t="shared" si="71"/>
        <v/>
      </c>
      <c r="AW109" s="34" t="str">
        <f t="shared" si="71"/>
        <v/>
      </c>
      <c r="AX109" s="34" t="str">
        <f t="shared" si="71"/>
        <v/>
      </c>
      <c r="AY109" s="34" t="str">
        <f t="shared" si="71"/>
        <v/>
      </c>
      <c r="AZ109" s="34" t="str">
        <f t="shared" si="71"/>
        <v/>
      </c>
      <c r="BA109" s="34"/>
      <c r="BB109" s="34"/>
      <c r="BC109" s="34" t="str">
        <f t="shared" si="72"/>
        <v/>
      </c>
      <c r="BD109" s="34" t="str">
        <f t="shared" si="72"/>
        <v/>
      </c>
      <c r="BE109" s="34" t="str">
        <f t="shared" si="72"/>
        <v/>
      </c>
      <c r="BF109" s="34" t="str">
        <f t="shared" si="72"/>
        <v/>
      </c>
      <c r="BG109" s="34" t="str">
        <f t="shared" si="72"/>
        <v/>
      </c>
      <c r="BH109" s="34"/>
      <c r="BI109" s="34"/>
      <c r="BJ109" s="34"/>
      <c r="BK109" s="34"/>
      <c r="BL109" s="34"/>
      <c r="BM109" s="34"/>
      <c r="BN109" s="34"/>
      <c r="BO109" s="34"/>
      <c r="BP109" s="34"/>
    </row>
    <row r="110" spans="2:68" outlineLevel="2" x14ac:dyDescent="0.25">
      <c r="B110" s="32">
        <f t="shared" si="58"/>
        <v>101</v>
      </c>
      <c r="C110" s="33" t="s">
        <v>5</v>
      </c>
      <c r="D110" s="34" t="s">
        <v>512</v>
      </c>
      <c r="E110" s="34"/>
      <c r="F110" s="40"/>
      <c r="G110" s="33">
        <v>30</v>
      </c>
      <c r="H110" s="35">
        <f>H109</f>
        <v>46209</v>
      </c>
      <c r="I110" s="35" cm="1">
        <f t="array" ref="I110">IF(G110&lt;&gt;"",WORKDAY(Start,Duration-1),IF(Type="M",WORKDAY(Start,Duration-1),""))</f>
        <v>46248</v>
      </c>
      <c r="J110" s="44"/>
      <c r="K110" s="47" t="s">
        <v>515</v>
      </c>
      <c r="L110" s="34" t="s">
        <v>516</v>
      </c>
      <c r="M110" s="36" t="str">
        <f t="shared" si="66"/>
        <v/>
      </c>
      <c r="N110" s="34" t="str">
        <f t="shared" si="66"/>
        <v/>
      </c>
      <c r="O110" s="34" t="str">
        <f t="shared" si="66"/>
        <v/>
      </c>
      <c r="P110" s="34" t="str">
        <f t="shared" si="66"/>
        <v/>
      </c>
      <c r="Q110" s="34" t="str">
        <f t="shared" si="66"/>
        <v/>
      </c>
      <c r="R110" s="34" t="str">
        <f t="shared" si="59"/>
        <v/>
      </c>
      <c r="S110" s="34" t="str">
        <f t="shared" si="59"/>
        <v/>
      </c>
      <c r="T110" s="34" t="str">
        <f t="shared" si="67"/>
        <v/>
      </c>
      <c r="U110" s="34" t="str">
        <f t="shared" si="67"/>
        <v/>
      </c>
      <c r="V110" s="34" t="str">
        <f t="shared" si="67"/>
        <v/>
      </c>
      <c r="W110" s="34" t="str">
        <f t="shared" si="67"/>
        <v/>
      </c>
      <c r="X110" s="34" t="str">
        <f t="shared" si="67"/>
        <v/>
      </c>
      <c r="Y110" s="34" t="str">
        <f t="shared" si="60"/>
        <v/>
      </c>
      <c r="Z110" s="34" t="str">
        <f t="shared" si="60"/>
        <v/>
      </c>
      <c r="AA110" s="34" t="str">
        <f t="shared" si="68"/>
        <v/>
      </c>
      <c r="AB110" s="34" t="str">
        <f t="shared" si="68"/>
        <v/>
      </c>
      <c r="AC110" s="34" t="str">
        <f t="shared" si="68"/>
        <v/>
      </c>
      <c r="AD110" s="34" t="str">
        <f t="shared" si="68"/>
        <v/>
      </c>
      <c r="AE110" s="34" t="str">
        <f t="shared" si="68"/>
        <v/>
      </c>
      <c r="AF110" s="34" t="str">
        <f t="shared" si="60"/>
        <v/>
      </c>
      <c r="AG110" s="34" t="str">
        <f t="shared" si="61"/>
        <v/>
      </c>
      <c r="AH110" s="34" t="str">
        <f t="shared" si="69"/>
        <v/>
      </c>
      <c r="AI110" s="34" t="str">
        <f t="shared" si="69"/>
        <v/>
      </c>
      <c r="AJ110" s="34" t="str">
        <f t="shared" si="69"/>
        <v/>
      </c>
      <c r="AK110" s="34" t="str">
        <f t="shared" si="69"/>
        <v/>
      </c>
      <c r="AL110" s="34" t="str">
        <f t="shared" si="69"/>
        <v/>
      </c>
      <c r="AM110" s="34" t="str">
        <f t="shared" si="61"/>
        <v/>
      </c>
      <c r="AN110" s="34" t="str">
        <f t="shared" si="61"/>
        <v/>
      </c>
      <c r="AO110" s="34" t="str">
        <f t="shared" si="70"/>
        <v/>
      </c>
      <c r="AP110" s="34" t="str">
        <f t="shared" si="70"/>
        <v/>
      </c>
      <c r="AQ110" s="34" t="str">
        <f t="shared" si="70"/>
        <v/>
      </c>
      <c r="AR110" s="34" t="str">
        <f t="shared" si="70"/>
        <v/>
      </c>
      <c r="AS110" s="34" t="str">
        <f t="shared" si="70"/>
        <v/>
      </c>
      <c r="AT110" s="34" t="str">
        <f t="shared" si="62"/>
        <v/>
      </c>
      <c r="AU110" s="34" t="str">
        <f t="shared" si="62"/>
        <v/>
      </c>
      <c r="AV110" s="34" t="str">
        <f t="shared" si="71"/>
        <v/>
      </c>
      <c r="AW110" s="34" t="str">
        <f t="shared" si="71"/>
        <v/>
      </c>
      <c r="AX110" s="34" t="str">
        <f t="shared" si="71"/>
        <v/>
      </c>
      <c r="AY110" s="34" t="str">
        <f t="shared" si="71"/>
        <v/>
      </c>
      <c r="AZ110" s="34" t="str">
        <f t="shared" si="71"/>
        <v/>
      </c>
      <c r="BA110" s="34" t="str">
        <f t="shared" si="63"/>
        <v/>
      </c>
      <c r="BB110" s="34" t="str">
        <f t="shared" si="63"/>
        <v/>
      </c>
      <c r="BC110" s="34" t="str">
        <f t="shared" si="72"/>
        <v/>
      </c>
      <c r="BD110" s="34" t="str">
        <f t="shared" si="72"/>
        <v/>
      </c>
      <c r="BE110" s="34" t="str">
        <f t="shared" si="72"/>
        <v/>
      </c>
      <c r="BF110" s="34" t="str">
        <f t="shared" si="72"/>
        <v/>
      </c>
      <c r="BG110" s="34" t="str">
        <f t="shared" si="72"/>
        <v/>
      </c>
      <c r="BH110" s="34" t="str">
        <f t="shared" si="63"/>
        <v/>
      </c>
      <c r="BI110" s="34" t="str">
        <f t="shared" si="63"/>
        <v/>
      </c>
      <c r="BJ110" s="34" t="str">
        <f t="shared" si="63"/>
        <v/>
      </c>
      <c r="BK110" s="34" t="str">
        <f t="shared" si="64"/>
        <v/>
      </c>
      <c r="BL110" s="34" t="str">
        <f t="shared" si="64"/>
        <v/>
      </c>
      <c r="BM110" s="34" t="str">
        <f t="shared" si="64"/>
        <v/>
      </c>
      <c r="BN110" s="34" t="str">
        <f t="shared" si="64"/>
        <v/>
      </c>
      <c r="BO110" s="34" t="str">
        <f t="shared" si="64"/>
        <v/>
      </c>
      <c r="BP110" s="34" t="str">
        <f t="shared" si="64"/>
        <v/>
      </c>
    </row>
    <row r="111" spans="2:68" outlineLevel="2" x14ac:dyDescent="0.25">
      <c r="B111" s="32">
        <f t="shared" si="58"/>
        <v>102</v>
      </c>
      <c r="C111" s="33" t="s">
        <v>5</v>
      </c>
      <c r="D111" s="34" t="s">
        <v>514</v>
      </c>
      <c r="E111" s="34"/>
      <c r="F111" s="40"/>
      <c r="G111" s="33">
        <v>30</v>
      </c>
      <c r="H111" s="35">
        <f t="shared" si="73"/>
        <v>46251</v>
      </c>
      <c r="I111" s="35" cm="1">
        <f t="array" ref="I111">IF(G111&lt;&gt;"",WORKDAY(Start,Duration-1),IF(Type="M",WORKDAY(Start,Duration-1),""))</f>
        <v>46290</v>
      </c>
      <c r="J111" s="44"/>
      <c r="K111" s="47" t="s">
        <v>515</v>
      </c>
      <c r="L111" s="34"/>
      <c r="M111" s="36" t="str">
        <f t="shared" si="66"/>
        <v/>
      </c>
      <c r="N111" s="34" t="str">
        <f t="shared" si="66"/>
        <v/>
      </c>
      <c r="O111" s="34" t="str">
        <f t="shared" si="66"/>
        <v/>
      </c>
      <c r="P111" s="34" t="str">
        <f t="shared" si="66"/>
        <v/>
      </c>
      <c r="Q111" s="34" t="str">
        <f t="shared" si="66"/>
        <v/>
      </c>
      <c r="R111" s="34"/>
      <c r="S111" s="34"/>
      <c r="T111" s="34" t="str">
        <f t="shared" si="67"/>
        <v/>
      </c>
      <c r="U111" s="34" t="str">
        <f t="shared" si="67"/>
        <v/>
      </c>
      <c r="V111" s="34" t="str">
        <f t="shared" si="67"/>
        <v/>
      </c>
      <c r="W111" s="34" t="str">
        <f t="shared" si="67"/>
        <v/>
      </c>
      <c r="X111" s="34" t="str">
        <f t="shared" si="67"/>
        <v/>
      </c>
      <c r="Y111" s="34"/>
      <c r="Z111" s="34"/>
      <c r="AA111" s="34" t="str">
        <f t="shared" si="68"/>
        <v/>
      </c>
      <c r="AB111" s="34" t="str">
        <f t="shared" si="68"/>
        <v/>
      </c>
      <c r="AC111" s="34" t="str">
        <f t="shared" si="68"/>
        <v/>
      </c>
      <c r="AD111" s="34" t="str">
        <f t="shared" si="68"/>
        <v/>
      </c>
      <c r="AE111" s="34" t="str">
        <f t="shared" si="68"/>
        <v/>
      </c>
      <c r="AF111" s="34"/>
      <c r="AG111" s="34"/>
      <c r="AH111" s="34" t="str">
        <f t="shared" si="69"/>
        <v/>
      </c>
      <c r="AI111" s="34" t="str">
        <f t="shared" si="69"/>
        <v/>
      </c>
      <c r="AJ111" s="34" t="str">
        <f t="shared" si="69"/>
        <v/>
      </c>
      <c r="AK111" s="34" t="str">
        <f t="shared" si="69"/>
        <v/>
      </c>
      <c r="AL111" s="34" t="str">
        <f t="shared" si="69"/>
        <v/>
      </c>
      <c r="AM111" s="34"/>
      <c r="AN111" s="34"/>
      <c r="AO111" s="34" t="str">
        <f t="shared" si="70"/>
        <v/>
      </c>
      <c r="AP111" s="34" t="str">
        <f t="shared" si="70"/>
        <v/>
      </c>
      <c r="AQ111" s="34" t="str">
        <f t="shared" si="70"/>
        <v/>
      </c>
      <c r="AR111" s="34" t="str">
        <f t="shared" si="70"/>
        <v/>
      </c>
      <c r="AS111" s="34" t="str">
        <f t="shared" si="70"/>
        <v/>
      </c>
      <c r="AT111" s="34"/>
      <c r="AU111" s="34"/>
      <c r="AV111" s="34" t="str">
        <f t="shared" si="71"/>
        <v/>
      </c>
      <c r="AW111" s="34" t="str">
        <f t="shared" si="71"/>
        <v/>
      </c>
      <c r="AX111" s="34" t="str">
        <f t="shared" si="71"/>
        <v/>
      </c>
      <c r="AY111" s="34" t="str">
        <f t="shared" si="71"/>
        <v/>
      </c>
      <c r="AZ111" s="34" t="str">
        <f t="shared" si="71"/>
        <v/>
      </c>
      <c r="BA111" s="34"/>
      <c r="BB111" s="34"/>
      <c r="BC111" s="34" t="str">
        <f t="shared" si="72"/>
        <v/>
      </c>
      <c r="BD111" s="34" t="str">
        <f t="shared" si="72"/>
        <v/>
      </c>
      <c r="BE111" s="34" t="str">
        <f t="shared" si="72"/>
        <v/>
      </c>
      <c r="BF111" s="34" t="str">
        <f t="shared" si="72"/>
        <v/>
      </c>
      <c r="BG111" s="34" t="str">
        <f t="shared" si="72"/>
        <v/>
      </c>
      <c r="BH111" s="34"/>
      <c r="BI111" s="34"/>
      <c r="BJ111" s="34"/>
      <c r="BK111" s="34"/>
      <c r="BL111" s="34"/>
      <c r="BM111" s="34"/>
      <c r="BN111" s="34"/>
      <c r="BO111" s="34"/>
      <c r="BP111" s="34"/>
    </row>
    <row r="112" spans="2:68" outlineLevel="2" x14ac:dyDescent="0.25">
      <c r="B112" s="32">
        <f t="shared" si="58"/>
        <v>103</v>
      </c>
      <c r="C112" s="33" t="s">
        <v>5</v>
      </c>
      <c r="D112" s="34" t="s">
        <v>513</v>
      </c>
      <c r="E112" s="34"/>
      <c r="F112" s="40"/>
      <c r="G112" s="33">
        <v>30</v>
      </c>
      <c r="H112" s="35">
        <f t="shared" si="73"/>
        <v>46293</v>
      </c>
      <c r="I112" s="35" cm="1">
        <f t="array" ref="I112">IF(G112&lt;&gt;"",WORKDAY(Start,Duration-1),IF(Type="M",WORKDAY(Start,Duration-1),""))</f>
        <v>46332</v>
      </c>
      <c r="J112" s="44"/>
      <c r="K112" s="47" t="s">
        <v>515</v>
      </c>
      <c r="L112" s="34"/>
      <c r="M112" s="36" t="str">
        <f t="shared" si="66"/>
        <v/>
      </c>
      <c r="N112" s="34" t="str">
        <f t="shared" si="66"/>
        <v/>
      </c>
      <c r="O112" s="34" t="str">
        <f t="shared" si="66"/>
        <v/>
      </c>
      <c r="P112" s="34" t="str">
        <f t="shared" si="66"/>
        <v/>
      </c>
      <c r="Q112" s="34" t="str">
        <f t="shared" si="66"/>
        <v/>
      </c>
      <c r="R112" s="34"/>
      <c r="S112" s="34"/>
      <c r="T112" s="34" t="str">
        <f t="shared" si="67"/>
        <v/>
      </c>
      <c r="U112" s="34" t="str">
        <f t="shared" si="67"/>
        <v/>
      </c>
      <c r="V112" s="34" t="str">
        <f t="shared" si="67"/>
        <v/>
      </c>
      <c r="W112" s="34" t="str">
        <f t="shared" si="67"/>
        <v/>
      </c>
      <c r="X112" s="34" t="str">
        <f t="shared" si="67"/>
        <v/>
      </c>
      <c r="Y112" s="34"/>
      <c r="Z112" s="34"/>
      <c r="AA112" s="34" t="str">
        <f t="shared" si="68"/>
        <v/>
      </c>
      <c r="AB112" s="34" t="str">
        <f t="shared" si="68"/>
        <v/>
      </c>
      <c r="AC112" s="34" t="str">
        <f t="shared" si="68"/>
        <v/>
      </c>
      <c r="AD112" s="34" t="str">
        <f t="shared" si="68"/>
        <v/>
      </c>
      <c r="AE112" s="34" t="str">
        <f t="shared" si="68"/>
        <v/>
      </c>
      <c r="AF112" s="34"/>
      <c r="AG112" s="34"/>
      <c r="AH112" s="34" t="str">
        <f t="shared" si="69"/>
        <v/>
      </c>
      <c r="AI112" s="34" t="str">
        <f t="shared" si="69"/>
        <v/>
      </c>
      <c r="AJ112" s="34" t="str">
        <f t="shared" si="69"/>
        <v/>
      </c>
      <c r="AK112" s="34" t="str">
        <f t="shared" si="69"/>
        <v/>
      </c>
      <c r="AL112" s="34" t="str">
        <f t="shared" si="69"/>
        <v/>
      </c>
      <c r="AM112" s="34"/>
      <c r="AN112" s="34"/>
      <c r="AO112" s="34" t="str">
        <f t="shared" si="70"/>
        <v/>
      </c>
      <c r="AP112" s="34" t="str">
        <f t="shared" si="70"/>
        <v/>
      </c>
      <c r="AQ112" s="34" t="str">
        <f t="shared" si="70"/>
        <v/>
      </c>
      <c r="AR112" s="34" t="str">
        <f t="shared" si="70"/>
        <v/>
      </c>
      <c r="AS112" s="34" t="str">
        <f t="shared" si="70"/>
        <v/>
      </c>
      <c r="AT112" s="34"/>
      <c r="AU112" s="34"/>
      <c r="AV112" s="34" t="str">
        <f t="shared" si="71"/>
        <v/>
      </c>
      <c r="AW112" s="34" t="str">
        <f t="shared" si="71"/>
        <v/>
      </c>
      <c r="AX112" s="34" t="str">
        <f t="shared" si="71"/>
        <v/>
      </c>
      <c r="AY112" s="34" t="str">
        <f t="shared" si="71"/>
        <v/>
      </c>
      <c r="AZ112" s="34" t="str">
        <f t="shared" si="71"/>
        <v/>
      </c>
      <c r="BA112" s="34"/>
      <c r="BB112" s="34"/>
      <c r="BC112" s="34" t="str">
        <f t="shared" si="72"/>
        <v/>
      </c>
      <c r="BD112" s="34" t="str">
        <f t="shared" si="72"/>
        <v/>
      </c>
      <c r="BE112" s="34" t="str">
        <f t="shared" si="72"/>
        <v/>
      </c>
      <c r="BF112" s="34" t="str">
        <f t="shared" si="72"/>
        <v/>
      </c>
      <c r="BG112" s="34" t="str">
        <f t="shared" si="72"/>
        <v/>
      </c>
      <c r="BH112" s="34"/>
      <c r="BI112" s="34"/>
      <c r="BJ112" s="34"/>
      <c r="BK112" s="34"/>
      <c r="BL112" s="34"/>
      <c r="BM112" s="34"/>
      <c r="BN112" s="34"/>
      <c r="BO112" s="34"/>
      <c r="BP112" s="34"/>
    </row>
    <row r="113" spans="2:68" x14ac:dyDescent="0.25">
      <c r="B113" s="32">
        <f t="shared" si="58"/>
        <v>104</v>
      </c>
      <c r="C113" s="33" t="s">
        <v>1</v>
      </c>
      <c r="D113" s="37" t="s">
        <v>383</v>
      </c>
      <c r="E113" s="37"/>
      <c r="F113" s="41"/>
      <c r="G113" s="33">
        <f>SUM(G114,G123,G134)</f>
        <v>63</v>
      </c>
      <c r="H113" s="35">
        <f t="shared" si="73"/>
        <v>46335</v>
      </c>
      <c r="I113" s="35" cm="1">
        <f t="array" ref="I113">IF(G113&lt;&gt;"",WORKDAY(Start,Duration-1),IF(Type="M",WORKDAY(Start,Duration-1),""))</f>
        <v>46421</v>
      </c>
      <c r="J113" s="44">
        <f>(J114+J123+J134)/3</f>
        <v>0</v>
      </c>
      <c r="K113" s="47"/>
      <c r="L113" s="34"/>
      <c r="M113" s="36" t="str">
        <f t="shared" si="66"/>
        <v/>
      </c>
      <c r="N113" s="34" t="str">
        <f t="shared" si="66"/>
        <v/>
      </c>
      <c r="O113" s="34" t="str">
        <f t="shared" si="66"/>
        <v/>
      </c>
      <c r="P113" s="34" t="str">
        <f t="shared" si="66"/>
        <v/>
      </c>
      <c r="Q113" s="34" t="str">
        <f t="shared" si="66"/>
        <v/>
      </c>
      <c r="R113" s="34" t="str">
        <f t="shared" si="59"/>
        <v/>
      </c>
      <c r="S113" s="34" t="str">
        <f t="shared" si="59"/>
        <v/>
      </c>
      <c r="T113" s="34" t="str">
        <f t="shared" ref="T113:X151" si="74">IF(AND(Type="M",Start=Date),"◆","")</f>
        <v/>
      </c>
      <c r="U113" s="34" t="str">
        <f t="shared" si="74"/>
        <v/>
      </c>
      <c r="V113" s="34" t="str">
        <f t="shared" si="74"/>
        <v/>
      </c>
      <c r="W113" s="34" t="str">
        <f t="shared" si="74"/>
        <v/>
      </c>
      <c r="X113" s="34" t="str">
        <f t="shared" si="74"/>
        <v/>
      </c>
      <c r="Y113" s="34" t="str">
        <f t="shared" si="60"/>
        <v/>
      </c>
      <c r="Z113" s="34" t="str">
        <f t="shared" si="60"/>
        <v/>
      </c>
      <c r="AA113" s="34" t="str">
        <f t="shared" si="68"/>
        <v/>
      </c>
      <c r="AB113" s="34" t="str">
        <f t="shared" si="68"/>
        <v/>
      </c>
      <c r="AC113" s="34" t="str">
        <f t="shared" si="68"/>
        <v/>
      </c>
      <c r="AD113" s="34" t="str">
        <f t="shared" si="68"/>
        <v/>
      </c>
      <c r="AE113" s="34" t="str">
        <f t="shared" si="68"/>
        <v/>
      </c>
      <c r="AF113" s="34" t="str">
        <f t="shared" si="60"/>
        <v/>
      </c>
      <c r="AG113" s="34" t="str">
        <f t="shared" si="61"/>
        <v/>
      </c>
      <c r="AH113" s="34" t="str">
        <f t="shared" si="69"/>
        <v/>
      </c>
      <c r="AI113" s="34" t="str">
        <f t="shared" si="69"/>
        <v/>
      </c>
      <c r="AJ113" s="34" t="str">
        <f t="shared" si="69"/>
        <v/>
      </c>
      <c r="AK113" s="34" t="str">
        <f t="shared" si="69"/>
        <v/>
      </c>
      <c r="AL113" s="34" t="str">
        <f t="shared" si="69"/>
        <v/>
      </c>
      <c r="AM113" s="34" t="str">
        <f t="shared" si="61"/>
        <v/>
      </c>
      <c r="AN113" s="34" t="str">
        <f t="shared" si="61"/>
        <v/>
      </c>
      <c r="AO113" s="34" t="str">
        <f t="shared" ref="AO113:AS151" si="75">IF(AND(Type="M",Start=Date),"◆","")</f>
        <v/>
      </c>
      <c r="AP113" s="34" t="str">
        <f t="shared" si="75"/>
        <v/>
      </c>
      <c r="AQ113" s="34" t="str">
        <f t="shared" si="75"/>
        <v/>
      </c>
      <c r="AR113" s="34" t="str">
        <f t="shared" si="75"/>
        <v/>
      </c>
      <c r="AS113" s="34" t="str">
        <f t="shared" si="75"/>
        <v/>
      </c>
      <c r="AT113" s="34" t="str">
        <f t="shared" si="62"/>
        <v/>
      </c>
      <c r="AU113" s="34" t="str">
        <f t="shared" si="62"/>
        <v/>
      </c>
      <c r="AV113" s="34" t="str">
        <f t="shared" ref="AV113:AZ150" si="76">IF(AND(Type="M",Start=Date),"◆","")</f>
        <v/>
      </c>
      <c r="AW113" s="34" t="str">
        <f t="shared" si="76"/>
        <v/>
      </c>
      <c r="AX113" s="34" t="str">
        <f t="shared" si="76"/>
        <v/>
      </c>
      <c r="AY113" s="34" t="str">
        <f t="shared" si="76"/>
        <v/>
      </c>
      <c r="AZ113" s="34" t="str">
        <f t="shared" si="76"/>
        <v/>
      </c>
      <c r="BA113" s="34" t="str">
        <f t="shared" si="63"/>
        <v/>
      </c>
      <c r="BB113" s="34" t="str">
        <f t="shared" si="63"/>
        <v/>
      </c>
      <c r="BC113" s="34" t="str">
        <f t="shared" si="72"/>
        <v/>
      </c>
      <c r="BD113" s="34" t="str">
        <f t="shared" si="72"/>
        <v/>
      </c>
      <c r="BE113" s="34" t="str">
        <f t="shared" si="72"/>
        <v/>
      </c>
      <c r="BF113" s="34" t="str">
        <f t="shared" si="72"/>
        <v/>
      </c>
      <c r="BG113" s="34" t="str">
        <f t="shared" si="72"/>
        <v/>
      </c>
      <c r="BH113" s="34" t="str">
        <f t="shared" si="63"/>
        <v/>
      </c>
      <c r="BI113" s="34" t="str">
        <f t="shared" si="63"/>
        <v/>
      </c>
      <c r="BJ113" s="34" t="str">
        <f t="shared" si="63"/>
        <v/>
      </c>
      <c r="BK113" s="34" t="str">
        <f t="shared" si="64"/>
        <v/>
      </c>
      <c r="BL113" s="34" t="str">
        <f t="shared" si="64"/>
        <v/>
      </c>
      <c r="BM113" s="34" t="str">
        <f t="shared" si="64"/>
        <v/>
      </c>
      <c r="BN113" s="34" t="str">
        <f t="shared" si="64"/>
        <v/>
      </c>
      <c r="BO113" s="34" t="str">
        <f t="shared" si="64"/>
        <v/>
      </c>
      <c r="BP113" s="34" t="str">
        <f t="shared" si="64"/>
        <v/>
      </c>
    </row>
    <row r="114" spans="2:68" outlineLevel="1" x14ac:dyDescent="0.25">
      <c r="B114" s="32">
        <f t="shared" si="58"/>
        <v>105</v>
      </c>
      <c r="C114" s="33" t="s">
        <v>1</v>
      </c>
      <c r="D114" s="37" t="s">
        <v>56</v>
      </c>
      <c r="E114" s="37"/>
      <c r="F114" s="41"/>
      <c r="G114" s="33">
        <f>SUM(G115:G122)</f>
        <v>22</v>
      </c>
      <c r="H114" s="35">
        <f>H113</f>
        <v>46335</v>
      </c>
      <c r="I114" s="35" cm="1">
        <f t="array" ref="I114">IF(G114&lt;&gt;"",WORKDAY(Start,Duration-1),IF(Type="M",WORKDAY(Start,Duration-1),""))</f>
        <v>46364</v>
      </c>
      <c r="J114" s="43" cm="1">
        <f t="array" ref="J114">SUM(J115:J122*G115:G122)/SUM(G115:G122)</f>
        <v>0</v>
      </c>
      <c r="K114" s="46"/>
      <c r="L114" s="34"/>
      <c r="M114" s="36" t="str">
        <f t="shared" si="66"/>
        <v/>
      </c>
      <c r="N114" s="34" t="str">
        <f t="shared" si="66"/>
        <v/>
      </c>
      <c r="O114" s="34" t="str">
        <f t="shared" si="66"/>
        <v/>
      </c>
      <c r="P114" s="34" t="str">
        <f t="shared" si="66"/>
        <v/>
      </c>
      <c r="Q114" s="34" t="str">
        <f t="shared" si="66"/>
        <v/>
      </c>
      <c r="R114" s="34" t="str">
        <f t="shared" si="59"/>
        <v/>
      </c>
      <c r="S114" s="34" t="str">
        <f t="shared" si="59"/>
        <v/>
      </c>
      <c r="T114" s="34" t="str">
        <f t="shared" si="74"/>
        <v/>
      </c>
      <c r="U114" s="34" t="str">
        <f t="shared" si="74"/>
        <v/>
      </c>
      <c r="V114" s="34" t="str">
        <f t="shared" si="74"/>
        <v/>
      </c>
      <c r="W114" s="34" t="str">
        <f t="shared" si="74"/>
        <v/>
      </c>
      <c r="X114" s="34" t="str">
        <f t="shared" si="74"/>
        <v/>
      </c>
      <c r="Y114" s="34" t="str">
        <f t="shared" si="60"/>
        <v/>
      </c>
      <c r="Z114" s="34" t="str">
        <f t="shared" si="60"/>
        <v/>
      </c>
      <c r="AA114" s="34" t="str">
        <f t="shared" si="68"/>
        <v/>
      </c>
      <c r="AB114" s="34" t="str">
        <f t="shared" si="68"/>
        <v/>
      </c>
      <c r="AC114" s="34" t="str">
        <f t="shared" si="68"/>
        <v/>
      </c>
      <c r="AD114" s="34" t="str">
        <f t="shared" si="68"/>
        <v/>
      </c>
      <c r="AE114" s="34" t="str">
        <f t="shared" si="68"/>
        <v/>
      </c>
      <c r="AF114" s="34" t="str">
        <f t="shared" si="60"/>
        <v/>
      </c>
      <c r="AG114" s="34" t="str">
        <f t="shared" si="61"/>
        <v/>
      </c>
      <c r="AH114" s="34" t="str">
        <f t="shared" si="69"/>
        <v/>
      </c>
      <c r="AI114" s="34" t="str">
        <f t="shared" si="69"/>
        <v/>
      </c>
      <c r="AJ114" s="34" t="str">
        <f t="shared" si="69"/>
        <v/>
      </c>
      <c r="AK114" s="34" t="str">
        <f t="shared" si="69"/>
        <v/>
      </c>
      <c r="AL114" s="34" t="str">
        <f t="shared" si="69"/>
        <v/>
      </c>
      <c r="AM114" s="34" t="str">
        <f t="shared" si="61"/>
        <v/>
      </c>
      <c r="AN114" s="34" t="str">
        <f t="shared" si="61"/>
        <v/>
      </c>
      <c r="AO114" s="34" t="str">
        <f t="shared" si="75"/>
        <v/>
      </c>
      <c r="AP114" s="34" t="str">
        <f t="shared" si="75"/>
        <v/>
      </c>
      <c r="AQ114" s="34" t="str">
        <f t="shared" si="75"/>
        <v/>
      </c>
      <c r="AR114" s="34" t="str">
        <f t="shared" si="75"/>
        <v/>
      </c>
      <c r="AS114" s="34" t="str">
        <f t="shared" si="75"/>
        <v/>
      </c>
      <c r="AT114" s="34" t="str">
        <f t="shared" si="62"/>
        <v/>
      </c>
      <c r="AU114" s="34" t="str">
        <f t="shared" si="62"/>
        <v/>
      </c>
      <c r="AV114" s="34" t="str">
        <f t="shared" si="76"/>
        <v/>
      </c>
      <c r="AW114" s="34" t="str">
        <f t="shared" si="76"/>
        <v/>
      </c>
      <c r="AX114" s="34" t="str">
        <f t="shared" si="76"/>
        <v/>
      </c>
      <c r="AY114" s="34" t="str">
        <f t="shared" si="76"/>
        <v/>
      </c>
      <c r="AZ114" s="34" t="str">
        <f t="shared" si="76"/>
        <v/>
      </c>
      <c r="BA114" s="34" t="str">
        <f t="shared" si="63"/>
        <v/>
      </c>
      <c r="BB114" s="34" t="str">
        <f t="shared" si="63"/>
        <v/>
      </c>
      <c r="BC114" s="34" t="str">
        <f t="shared" si="72"/>
        <v/>
      </c>
      <c r="BD114" s="34" t="str">
        <f t="shared" si="72"/>
        <v/>
      </c>
      <c r="BE114" s="34" t="str">
        <f t="shared" si="72"/>
        <v/>
      </c>
      <c r="BF114" s="34" t="str">
        <f t="shared" si="72"/>
        <v/>
      </c>
      <c r="BG114" s="34" t="str">
        <f t="shared" si="72"/>
        <v/>
      </c>
      <c r="BH114" s="34" t="str">
        <f t="shared" si="63"/>
        <v/>
      </c>
      <c r="BI114" s="34" t="str">
        <f t="shared" si="63"/>
        <v/>
      </c>
      <c r="BJ114" s="34" t="str">
        <f t="shared" si="63"/>
        <v/>
      </c>
      <c r="BK114" s="34" t="str">
        <f t="shared" si="64"/>
        <v/>
      </c>
      <c r="BL114" s="34" t="str">
        <f t="shared" si="64"/>
        <v/>
      </c>
      <c r="BM114" s="34" t="str">
        <f t="shared" si="64"/>
        <v/>
      </c>
      <c r="BN114" s="34" t="str">
        <f t="shared" si="64"/>
        <v/>
      </c>
      <c r="BO114" s="34" t="str">
        <f t="shared" si="64"/>
        <v/>
      </c>
      <c r="BP114" s="34" t="str">
        <f t="shared" si="64"/>
        <v/>
      </c>
    </row>
    <row r="115" spans="2:68" outlineLevel="2" x14ac:dyDescent="0.25">
      <c r="B115" s="32">
        <f t="shared" si="58"/>
        <v>106</v>
      </c>
      <c r="C115" s="33" t="s">
        <v>5</v>
      </c>
      <c r="D115" s="34" t="s">
        <v>437</v>
      </c>
      <c r="E115" s="37"/>
      <c r="F115" s="41"/>
      <c r="G115" s="33">
        <v>5</v>
      </c>
      <c r="H115" s="35">
        <f>H114</f>
        <v>46335</v>
      </c>
      <c r="I115" s="35" cm="1">
        <f t="array" ref="I115">IF(G115&lt;&gt;"",WORKDAY(Start,Duration-1),IF(Type="M",WORKDAY(Start,Duration-1),""))</f>
        <v>46339</v>
      </c>
      <c r="J115" s="43"/>
      <c r="K115" s="46" t="s">
        <v>415</v>
      </c>
      <c r="L115" s="34"/>
      <c r="M115" s="36" t="str">
        <f t="shared" si="66"/>
        <v/>
      </c>
      <c r="N115" s="34" t="str">
        <f t="shared" si="66"/>
        <v/>
      </c>
      <c r="O115" s="34" t="str">
        <f t="shared" si="66"/>
        <v/>
      </c>
      <c r="P115" s="34" t="str">
        <f t="shared" si="66"/>
        <v/>
      </c>
      <c r="Q115" s="34" t="str">
        <f t="shared" si="66"/>
        <v/>
      </c>
      <c r="R115" s="34"/>
      <c r="S115" s="34"/>
      <c r="T115" s="34" t="str">
        <f t="shared" si="74"/>
        <v/>
      </c>
      <c r="U115" s="34" t="str">
        <f t="shared" si="74"/>
        <v/>
      </c>
      <c r="V115" s="34" t="str">
        <f t="shared" si="74"/>
        <v/>
      </c>
      <c r="W115" s="34" t="str">
        <f t="shared" si="74"/>
        <v/>
      </c>
      <c r="X115" s="34" t="str">
        <f t="shared" si="74"/>
        <v/>
      </c>
      <c r="Y115" s="34"/>
      <c r="Z115" s="34"/>
      <c r="AA115" s="34" t="str">
        <f t="shared" si="68"/>
        <v/>
      </c>
      <c r="AB115" s="34" t="str">
        <f t="shared" si="68"/>
        <v/>
      </c>
      <c r="AC115" s="34" t="str">
        <f t="shared" si="68"/>
        <v/>
      </c>
      <c r="AD115" s="34" t="str">
        <f t="shared" si="68"/>
        <v/>
      </c>
      <c r="AE115" s="34" t="str">
        <f t="shared" si="68"/>
        <v/>
      </c>
      <c r="AF115" s="34"/>
      <c r="AG115" s="34"/>
      <c r="AH115" s="34" t="str">
        <f t="shared" si="69"/>
        <v/>
      </c>
      <c r="AI115" s="34" t="str">
        <f t="shared" si="69"/>
        <v/>
      </c>
      <c r="AJ115" s="34" t="str">
        <f t="shared" si="69"/>
        <v/>
      </c>
      <c r="AK115" s="34" t="str">
        <f t="shared" si="69"/>
        <v/>
      </c>
      <c r="AL115" s="34" t="str">
        <f t="shared" si="69"/>
        <v/>
      </c>
      <c r="AM115" s="34"/>
      <c r="AN115" s="34"/>
      <c r="AO115" s="34" t="str">
        <f t="shared" si="75"/>
        <v/>
      </c>
      <c r="AP115" s="34" t="str">
        <f t="shared" si="75"/>
        <v/>
      </c>
      <c r="AQ115" s="34" t="str">
        <f t="shared" si="75"/>
        <v/>
      </c>
      <c r="AR115" s="34" t="str">
        <f t="shared" si="75"/>
        <v/>
      </c>
      <c r="AS115" s="34" t="str">
        <f t="shared" si="75"/>
        <v/>
      </c>
      <c r="AT115" s="34"/>
      <c r="AU115" s="34"/>
      <c r="AV115" s="34" t="str">
        <f t="shared" si="76"/>
        <v/>
      </c>
      <c r="AW115" s="34" t="str">
        <f t="shared" si="76"/>
        <v/>
      </c>
      <c r="AX115" s="34" t="str">
        <f t="shared" si="76"/>
        <v/>
      </c>
      <c r="AY115" s="34" t="str">
        <f t="shared" si="76"/>
        <v/>
      </c>
      <c r="AZ115" s="34" t="str">
        <f t="shared" si="76"/>
        <v/>
      </c>
      <c r="BA115" s="34"/>
      <c r="BB115" s="34"/>
      <c r="BC115" s="34" t="str">
        <f t="shared" si="72"/>
        <v/>
      </c>
      <c r="BD115" s="34" t="str">
        <f t="shared" si="72"/>
        <v/>
      </c>
      <c r="BE115" s="34" t="str">
        <f t="shared" si="72"/>
        <v/>
      </c>
      <c r="BF115" s="34" t="str">
        <f t="shared" si="72"/>
        <v/>
      </c>
      <c r="BG115" s="34" t="str">
        <f t="shared" si="72"/>
        <v/>
      </c>
      <c r="BH115" s="34"/>
      <c r="BI115" s="34"/>
      <c r="BJ115" s="34"/>
      <c r="BK115" s="34"/>
      <c r="BL115" s="34"/>
      <c r="BM115" s="34"/>
      <c r="BN115" s="34"/>
      <c r="BO115" s="34"/>
      <c r="BP115" s="34"/>
    </row>
    <row r="116" spans="2:68" outlineLevel="2" x14ac:dyDescent="0.25">
      <c r="B116" s="32">
        <f t="shared" si="58"/>
        <v>107</v>
      </c>
      <c r="C116" s="33" t="s">
        <v>5</v>
      </c>
      <c r="D116" s="34" t="s">
        <v>57</v>
      </c>
      <c r="E116" s="34"/>
      <c r="F116" s="40"/>
      <c r="G116" s="33">
        <v>5</v>
      </c>
      <c r="H116" s="35">
        <f t="shared" si="73"/>
        <v>46342</v>
      </c>
      <c r="I116" s="35" cm="1">
        <f t="array" ref="I116">IF(G116&lt;&gt;"",WORKDAY(Start,Duration-1),IF(Type="M",WORKDAY(Start,Duration-1),""))</f>
        <v>46346</v>
      </c>
      <c r="J116" s="43"/>
      <c r="K116" s="47" t="s">
        <v>99</v>
      </c>
      <c r="L116" s="34"/>
      <c r="M116" s="36" t="str">
        <f t="shared" si="66"/>
        <v/>
      </c>
      <c r="N116" s="34" t="str">
        <f t="shared" si="66"/>
        <v/>
      </c>
      <c r="O116" s="34" t="str">
        <f t="shared" si="66"/>
        <v/>
      </c>
      <c r="P116" s="34" t="str">
        <f t="shared" si="66"/>
        <v/>
      </c>
      <c r="Q116" s="34" t="str">
        <f t="shared" si="66"/>
        <v/>
      </c>
      <c r="R116" s="34" t="str">
        <f t="shared" si="59"/>
        <v/>
      </c>
      <c r="S116" s="34" t="str">
        <f t="shared" si="59"/>
        <v/>
      </c>
      <c r="T116" s="34" t="str">
        <f t="shared" si="74"/>
        <v/>
      </c>
      <c r="U116" s="34" t="str">
        <f t="shared" si="74"/>
        <v/>
      </c>
      <c r="V116" s="34" t="str">
        <f t="shared" si="74"/>
        <v/>
      </c>
      <c r="W116" s="34" t="str">
        <f t="shared" si="74"/>
        <v/>
      </c>
      <c r="X116" s="34" t="str">
        <f t="shared" si="74"/>
        <v/>
      </c>
      <c r="Y116" s="34" t="str">
        <f t="shared" si="60"/>
        <v/>
      </c>
      <c r="Z116" s="34" t="str">
        <f t="shared" si="60"/>
        <v/>
      </c>
      <c r="AA116" s="34" t="str">
        <f t="shared" si="60"/>
        <v/>
      </c>
      <c r="AB116" s="34" t="str">
        <f t="shared" si="60"/>
        <v/>
      </c>
      <c r="AC116" s="34" t="str">
        <f t="shared" si="60"/>
        <v/>
      </c>
      <c r="AD116" s="34" t="str">
        <f t="shared" si="60"/>
        <v/>
      </c>
      <c r="AE116" s="34" t="str">
        <f t="shared" si="60"/>
        <v/>
      </c>
      <c r="AF116" s="34" t="str">
        <f t="shared" si="60"/>
        <v/>
      </c>
      <c r="AG116" s="34" t="str">
        <f t="shared" si="61"/>
        <v/>
      </c>
      <c r="AH116" s="34" t="str">
        <f t="shared" si="69"/>
        <v/>
      </c>
      <c r="AI116" s="34" t="str">
        <f t="shared" si="69"/>
        <v/>
      </c>
      <c r="AJ116" s="34" t="str">
        <f t="shared" si="69"/>
        <v/>
      </c>
      <c r="AK116" s="34" t="str">
        <f t="shared" si="69"/>
        <v/>
      </c>
      <c r="AL116" s="34" t="str">
        <f t="shared" si="69"/>
        <v/>
      </c>
      <c r="AM116" s="34" t="str">
        <f t="shared" si="61"/>
        <v/>
      </c>
      <c r="AN116" s="34" t="str">
        <f t="shared" si="61"/>
        <v/>
      </c>
      <c r="AO116" s="34" t="str">
        <f t="shared" si="75"/>
        <v/>
      </c>
      <c r="AP116" s="34" t="str">
        <f t="shared" si="75"/>
        <v/>
      </c>
      <c r="AQ116" s="34" t="str">
        <f t="shared" si="75"/>
        <v/>
      </c>
      <c r="AR116" s="34" t="str">
        <f t="shared" si="75"/>
        <v/>
      </c>
      <c r="AS116" s="34" t="str">
        <f t="shared" si="75"/>
        <v/>
      </c>
      <c r="AT116" s="34" t="str">
        <f t="shared" si="62"/>
        <v/>
      </c>
      <c r="AU116" s="34" t="str">
        <f t="shared" si="62"/>
        <v/>
      </c>
      <c r="AV116" s="34" t="str">
        <f t="shared" si="76"/>
        <v/>
      </c>
      <c r="AW116" s="34" t="str">
        <f t="shared" si="76"/>
        <v/>
      </c>
      <c r="AX116" s="34" t="str">
        <f t="shared" si="76"/>
        <v/>
      </c>
      <c r="AY116" s="34" t="str">
        <f t="shared" si="76"/>
        <v/>
      </c>
      <c r="AZ116" s="34" t="str">
        <f t="shared" si="76"/>
        <v/>
      </c>
      <c r="BA116" s="34" t="str">
        <f t="shared" si="63"/>
        <v/>
      </c>
      <c r="BB116" s="34" t="str">
        <f t="shared" si="63"/>
        <v/>
      </c>
      <c r="BC116" s="34" t="str">
        <f t="shared" si="72"/>
        <v/>
      </c>
      <c r="BD116" s="34" t="str">
        <f t="shared" si="72"/>
        <v/>
      </c>
      <c r="BE116" s="34" t="str">
        <f t="shared" si="72"/>
        <v/>
      </c>
      <c r="BF116" s="34" t="str">
        <f t="shared" si="72"/>
        <v/>
      </c>
      <c r="BG116" s="34" t="str">
        <f t="shared" si="72"/>
        <v/>
      </c>
      <c r="BH116" s="34" t="str">
        <f t="shared" si="63"/>
        <v/>
      </c>
      <c r="BI116" s="34" t="str">
        <f t="shared" si="63"/>
        <v/>
      </c>
      <c r="BJ116" s="34" t="str">
        <f t="shared" si="63"/>
        <v/>
      </c>
      <c r="BK116" s="34" t="str">
        <f t="shared" si="64"/>
        <v/>
      </c>
      <c r="BL116" s="34" t="str">
        <f t="shared" si="64"/>
        <v/>
      </c>
      <c r="BM116" s="34" t="str">
        <f t="shared" si="64"/>
        <v/>
      </c>
      <c r="BN116" s="34" t="str">
        <f t="shared" si="64"/>
        <v/>
      </c>
      <c r="BO116" s="34" t="str">
        <f t="shared" si="64"/>
        <v/>
      </c>
      <c r="BP116" s="34" t="str">
        <f t="shared" si="64"/>
        <v/>
      </c>
    </row>
    <row r="117" spans="2:68" outlineLevel="2" x14ac:dyDescent="0.25">
      <c r="B117" s="32">
        <f t="shared" si="58"/>
        <v>108</v>
      </c>
      <c r="C117" s="33" t="s">
        <v>5</v>
      </c>
      <c r="D117" s="34" t="s">
        <v>58</v>
      </c>
      <c r="E117" s="34"/>
      <c r="F117" s="40"/>
      <c r="G117" s="33">
        <v>5</v>
      </c>
      <c r="H117" s="35">
        <f t="shared" si="73"/>
        <v>46349</v>
      </c>
      <c r="I117" s="35" cm="1">
        <f t="array" ref="I117">IF(G117&lt;&gt;"",WORKDAY(Start,Duration-1),IF(Type="M",WORKDAY(Start,Duration-1),""))</f>
        <v>46353</v>
      </c>
      <c r="J117" s="43"/>
      <c r="K117" s="47" t="s">
        <v>99</v>
      </c>
      <c r="L117" s="34"/>
      <c r="M117" s="36" t="str">
        <f t="shared" si="66"/>
        <v/>
      </c>
      <c r="N117" s="34" t="str">
        <f t="shared" si="66"/>
        <v/>
      </c>
      <c r="O117" s="34" t="str">
        <f t="shared" si="66"/>
        <v/>
      </c>
      <c r="P117" s="34" t="str">
        <f t="shared" si="66"/>
        <v/>
      </c>
      <c r="Q117" s="34" t="str">
        <f t="shared" si="66"/>
        <v/>
      </c>
      <c r="R117" s="34" t="str">
        <f t="shared" si="59"/>
        <v/>
      </c>
      <c r="S117" s="34" t="str">
        <f t="shared" si="59"/>
        <v/>
      </c>
      <c r="T117" s="34" t="str">
        <f t="shared" si="74"/>
        <v/>
      </c>
      <c r="U117" s="34" t="str">
        <f t="shared" si="74"/>
        <v/>
      </c>
      <c r="V117" s="34" t="str">
        <f t="shared" si="74"/>
        <v/>
      </c>
      <c r="W117" s="34" t="str">
        <f t="shared" si="74"/>
        <v/>
      </c>
      <c r="X117" s="34" t="str">
        <f t="shared" si="74"/>
        <v/>
      </c>
      <c r="Y117" s="34" t="str">
        <f t="shared" si="60"/>
        <v/>
      </c>
      <c r="Z117" s="34" t="str">
        <f t="shared" si="60"/>
        <v/>
      </c>
      <c r="AA117" s="34" t="str">
        <f t="shared" si="60"/>
        <v/>
      </c>
      <c r="AB117" s="34" t="str">
        <f t="shared" si="60"/>
        <v/>
      </c>
      <c r="AC117" s="34" t="str">
        <f t="shared" si="60"/>
        <v/>
      </c>
      <c r="AD117" s="34" t="str">
        <f t="shared" si="60"/>
        <v/>
      </c>
      <c r="AE117" s="34" t="str">
        <f t="shared" si="60"/>
        <v/>
      </c>
      <c r="AF117" s="34" t="str">
        <f t="shared" si="60"/>
        <v/>
      </c>
      <c r="AG117" s="34" t="str">
        <f t="shared" si="61"/>
        <v/>
      </c>
      <c r="AH117" s="34" t="str">
        <f t="shared" si="69"/>
        <v/>
      </c>
      <c r="AI117" s="34" t="str">
        <f t="shared" si="69"/>
        <v/>
      </c>
      <c r="AJ117" s="34" t="str">
        <f t="shared" si="69"/>
        <v/>
      </c>
      <c r="AK117" s="34" t="str">
        <f t="shared" si="69"/>
        <v/>
      </c>
      <c r="AL117" s="34" t="str">
        <f t="shared" si="69"/>
        <v/>
      </c>
      <c r="AM117" s="34" t="str">
        <f t="shared" si="61"/>
        <v/>
      </c>
      <c r="AN117" s="34" t="str">
        <f t="shared" si="61"/>
        <v/>
      </c>
      <c r="AO117" s="34" t="str">
        <f t="shared" si="75"/>
        <v/>
      </c>
      <c r="AP117" s="34" t="str">
        <f t="shared" si="75"/>
        <v/>
      </c>
      <c r="AQ117" s="34" t="str">
        <f t="shared" si="75"/>
        <v/>
      </c>
      <c r="AR117" s="34" t="str">
        <f t="shared" si="75"/>
        <v/>
      </c>
      <c r="AS117" s="34" t="str">
        <f t="shared" si="75"/>
        <v/>
      </c>
      <c r="AT117" s="34" t="str">
        <f t="shared" si="62"/>
        <v/>
      </c>
      <c r="AU117" s="34" t="str">
        <f t="shared" si="62"/>
        <v/>
      </c>
      <c r="AV117" s="34" t="str">
        <f t="shared" si="76"/>
        <v/>
      </c>
      <c r="AW117" s="34" t="str">
        <f t="shared" si="76"/>
        <v/>
      </c>
      <c r="AX117" s="34" t="str">
        <f t="shared" si="76"/>
        <v/>
      </c>
      <c r="AY117" s="34" t="str">
        <f t="shared" si="76"/>
        <v/>
      </c>
      <c r="AZ117" s="34" t="str">
        <f t="shared" si="76"/>
        <v/>
      </c>
      <c r="BA117" s="34" t="str">
        <f t="shared" si="63"/>
        <v/>
      </c>
      <c r="BB117" s="34" t="str">
        <f t="shared" si="63"/>
        <v/>
      </c>
      <c r="BC117" s="34" t="str">
        <f t="shared" si="72"/>
        <v/>
      </c>
      <c r="BD117" s="34" t="str">
        <f t="shared" si="72"/>
        <v/>
      </c>
      <c r="BE117" s="34" t="str">
        <f t="shared" si="72"/>
        <v/>
      </c>
      <c r="BF117" s="34" t="str">
        <f t="shared" si="72"/>
        <v/>
      </c>
      <c r="BG117" s="34" t="str">
        <f t="shared" si="72"/>
        <v/>
      </c>
      <c r="BH117" s="34" t="str">
        <f t="shared" si="63"/>
        <v/>
      </c>
      <c r="BI117" s="34" t="str">
        <f t="shared" si="63"/>
        <v/>
      </c>
      <c r="BJ117" s="34" t="str">
        <f t="shared" si="63"/>
        <v/>
      </c>
      <c r="BK117" s="34" t="str">
        <f t="shared" si="64"/>
        <v/>
      </c>
      <c r="BL117" s="34" t="str">
        <f t="shared" si="64"/>
        <v/>
      </c>
      <c r="BM117" s="34" t="str">
        <f t="shared" si="64"/>
        <v/>
      </c>
      <c r="BN117" s="34" t="str">
        <f t="shared" si="64"/>
        <v/>
      </c>
      <c r="BO117" s="34" t="str">
        <f t="shared" si="64"/>
        <v/>
      </c>
      <c r="BP117" s="34" t="str">
        <f t="shared" si="64"/>
        <v/>
      </c>
    </row>
    <row r="118" spans="2:68" outlineLevel="2" x14ac:dyDescent="0.25">
      <c r="B118" s="32">
        <f t="shared" si="58"/>
        <v>109</v>
      </c>
      <c r="C118" s="33" t="s">
        <v>5</v>
      </c>
      <c r="D118" s="34" t="s">
        <v>59</v>
      </c>
      <c r="E118" s="34"/>
      <c r="F118" s="40"/>
      <c r="G118" s="33">
        <v>2</v>
      </c>
      <c r="H118" s="35">
        <f t="shared" si="73"/>
        <v>46356</v>
      </c>
      <c r="I118" s="35" cm="1">
        <f t="array" ref="I118">IF(G118&lt;&gt;"",WORKDAY(Start,Duration-1),IF(Type="M",WORKDAY(Start,Duration-1),""))</f>
        <v>46357</v>
      </c>
      <c r="J118" s="43"/>
      <c r="K118" s="47" t="s">
        <v>99</v>
      </c>
      <c r="L118" s="34"/>
      <c r="M118" s="36" t="str">
        <f t="shared" si="66"/>
        <v/>
      </c>
      <c r="N118" s="34" t="str">
        <f t="shared" si="66"/>
        <v/>
      </c>
      <c r="O118" s="34" t="str">
        <f t="shared" si="66"/>
        <v/>
      </c>
      <c r="P118" s="34" t="str">
        <f t="shared" si="66"/>
        <v/>
      </c>
      <c r="Q118" s="34" t="str">
        <f t="shared" si="66"/>
        <v/>
      </c>
      <c r="R118" s="34" t="str">
        <f t="shared" ref="R118:S130" si="77">IF(AND(Type="M",Start=Date),"◆","")</f>
        <v/>
      </c>
      <c r="S118" s="34" t="str">
        <f t="shared" si="77"/>
        <v/>
      </c>
      <c r="T118" s="34" t="str">
        <f t="shared" si="74"/>
        <v/>
      </c>
      <c r="U118" s="34" t="str">
        <f t="shared" si="74"/>
        <v/>
      </c>
      <c r="V118" s="34" t="str">
        <f t="shared" si="74"/>
        <v/>
      </c>
      <c r="W118" s="34" t="str">
        <f t="shared" si="74"/>
        <v/>
      </c>
      <c r="X118" s="34" t="str">
        <f t="shared" si="74"/>
        <v/>
      </c>
      <c r="Y118" s="34" t="str">
        <f t="shared" ref="Y118:AF133" si="78">IF(AND(Type="M",Start=Date),"◆","")</f>
        <v/>
      </c>
      <c r="Z118" s="34" t="str">
        <f t="shared" si="78"/>
        <v/>
      </c>
      <c r="AA118" s="34" t="str">
        <f t="shared" si="78"/>
        <v/>
      </c>
      <c r="AB118" s="34" t="str">
        <f t="shared" si="78"/>
        <v/>
      </c>
      <c r="AC118" s="34" t="str">
        <f t="shared" si="78"/>
        <v/>
      </c>
      <c r="AD118" s="34" t="str">
        <f t="shared" si="78"/>
        <v/>
      </c>
      <c r="AE118" s="34" t="str">
        <f t="shared" si="78"/>
        <v/>
      </c>
      <c r="AF118" s="34" t="str">
        <f t="shared" si="78"/>
        <v/>
      </c>
      <c r="AG118" s="34" t="str">
        <f t="shared" ref="AG118:AN130" si="79">IF(AND(Type="M",Start=Date),"◆","")</f>
        <v/>
      </c>
      <c r="AH118" s="34" t="str">
        <f t="shared" si="69"/>
        <v/>
      </c>
      <c r="AI118" s="34" t="str">
        <f t="shared" si="69"/>
        <v/>
      </c>
      <c r="AJ118" s="34" t="str">
        <f t="shared" si="69"/>
        <v/>
      </c>
      <c r="AK118" s="34" t="str">
        <f t="shared" si="69"/>
        <v/>
      </c>
      <c r="AL118" s="34" t="str">
        <f t="shared" si="69"/>
        <v/>
      </c>
      <c r="AM118" s="34" t="str">
        <f t="shared" si="79"/>
        <v/>
      </c>
      <c r="AN118" s="34" t="str">
        <f t="shared" si="79"/>
        <v/>
      </c>
      <c r="AO118" s="34" t="str">
        <f t="shared" si="75"/>
        <v/>
      </c>
      <c r="AP118" s="34" t="str">
        <f t="shared" si="75"/>
        <v/>
      </c>
      <c r="AQ118" s="34" t="str">
        <f t="shared" si="75"/>
        <v/>
      </c>
      <c r="AR118" s="34" t="str">
        <f t="shared" si="75"/>
        <v/>
      </c>
      <c r="AS118" s="34" t="str">
        <f t="shared" si="75"/>
        <v/>
      </c>
      <c r="AT118" s="34" t="str">
        <f t="shared" ref="AT118:AU130" si="80">IF(AND(Type="M",Start=Date),"◆","")</f>
        <v/>
      </c>
      <c r="AU118" s="34" t="str">
        <f t="shared" si="80"/>
        <v/>
      </c>
      <c r="AV118" s="34" t="str">
        <f t="shared" si="76"/>
        <v/>
      </c>
      <c r="AW118" s="34" t="str">
        <f t="shared" si="76"/>
        <v/>
      </c>
      <c r="AX118" s="34" t="str">
        <f t="shared" si="76"/>
        <v/>
      </c>
      <c r="AY118" s="34" t="str">
        <f t="shared" si="76"/>
        <v/>
      </c>
      <c r="AZ118" s="34" t="str">
        <f t="shared" si="76"/>
        <v/>
      </c>
      <c r="BA118" s="34" t="str">
        <f t="shared" ref="BA118:BJ130" si="81">IF(AND(Type="M",Start=Date),"◆","")</f>
        <v/>
      </c>
      <c r="BB118" s="34" t="str">
        <f t="shared" si="81"/>
        <v/>
      </c>
      <c r="BC118" s="34" t="str">
        <f t="shared" si="72"/>
        <v/>
      </c>
      <c r="BD118" s="34" t="str">
        <f t="shared" si="72"/>
        <v/>
      </c>
      <c r="BE118" s="34" t="str">
        <f t="shared" si="72"/>
        <v/>
      </c>
      <c r="BF118" s="34" t="str">
        <f t="shared" si="72"/>
        <v/>
      </c>
      <c r="BG118" s="34" t="str">
        <f t="shared" si="72"/>
        <v/>
      </c>
      <c r="BH118" s="34" t="str">
        <f t="shared" si="81"/>
        <v/>
      </c>
      <c r="BI118" s="34" t="str">
        <f t="shared" si="81"/>
        <v/>
      </c>
      <c r="BJ118" s="34" t="str">
        <f t="shared" si="81"/>
        <v/>
      </c>
      <c r="BK118" s="34" t="str">
        <f t="shared" ref="BK118:BP130" si="82">IF(AND(Type="M",Start=Date),"◆","")</f>
        <v/>
      </c>
      <c r="BL118" s="34" t="str">
        <f t="shared" si="82"/>
        <v/>
      </c>
      <c r="BM118" s="34" t="str">
        <f t="shared" si="82"/>
        <v/>
      </c>
      <c r="BN118" s="34" t="str">
        <f t="shared" si="82"/>
        <v/>
      </c>
      <c r="BO118" s="34" t="str">
        <f t="shared" si="82"/>
        <v/>
      </c>
      <c r="BP118" s="34" t="str">
        <f t="shared" si="82"/>
        <v/>
      </c>
    </row>
    <row r="119" spans="2:68" outlineLevel="2" x14ac:dyDescent="0.25">
      <c r="B119" s="32">
        <f t="shared" si="58"/>
        <v>110</v>
      </c>
      <c r="C119" s="33" t="s">
        <v>5</v>
      </c>
      <c r="D119" s="34" t="s">
        <v>60</v>
      </c>
      <c r="E119" s="34"/>
      <c r="F119" s="40"/>
      <c r="G119" s="33">
        <v>1</v>
      </c>
      <c r="H119" s="35">
        <f t="shared" si="73"/>
        <v>46358</v>
      </c>
      <c r="I119" s="35" cm="1">
        <f t="array" ref="I119">IF(G119&lt;&gt;"",WORKDAY(Start,Duration-1),IF(Type="M",WORKDAY(Start,Duration-1),""))</f>
        <v>46358</v>
      </c>
      <c r="J119" s="43"/>
      <c r="K119" s="47" t="s">
        <v>99</v>
      </c>
      <c r="L119" s="34"/>
      <c r="M119" s="36" t="str">
        <f t="shared" si="66"/>
        <v/>
      </c>
      <c r="N119" s="34" t="str">
        <f t="shared" si="66"/>
        <v/>
      </c>
      <c r="O119" s="34" t="str">
        <f t="shared" si="66"/>
        <v/>
      </c>
      <c r="P119" s="34" t="str">
        <f t="shared" si="66"/>
        <v/>
      </c>
      <c r="Q119" s="34" t="str">
        <f t="shared" si="66"/>
        <v/>
      </c>
      <c r="R119" s="34" t="str">
        <f t="shared" si="77"/>
        <v/>
      </c>
      <c r="S119" s="34" t="str">
        <f t="shared" si="77"/>
        <v/>
      </c>
      <c r="T119" s="34" t="str">
        <f t="shared" si="74"/>
        <v/>
      </c>
      <c r="U119" s="34" t="str">
        <f t="shared" si="74"/>
        <v/>
      </c>
      <c r="V119" s="34" t="str">
        <f t="shared" si="74"/>
        <v/>
      </c>
      <c r="W119" s="34" t="str">
        <f t="shared" si="74"/>
        <v/>
      </c>
      <c r="X119" s="34" t="str">
        <f t="shared" si="74"/>
        <v/>
      </c>
      <c r="Y119" s="34" t="str">
        <f t="shared" si="78"/>
        <v/>
      </c>
      <c r="Z119" s="34" t="str">
        <f t="shared" si="78"/>
        <v/>
      </c>
      <c r="AA119" s="34" t="str">
        <f t="shared" si="78"/>
        <v/>
      </c>
      <c r="AB119" s="34" t="str">
        <f t="shared" si="78"/>
        <v/>
      </c>
      <c r="AC119" s="34" t="str">
        <f t="shared" si="78"/>
        <v/>
      </c>
      <c r="AD119" s="34" t="str">
        <f t="shared" si="78"/>
        <v/>
      </c>
      <c r="AE119" s="34" t="str">
        <f t="shared" si="78"/>
        <v/>
      </c>
      <c r="AF119" s="34" t="str">
        <f t="shared" si="78"/>
        <v/>
      </c>
      <c r="AG119" s="34" t="str">
        <f t="shared" si="79"/>
        <v/>
      </c>
      <c r="AH119" s="34" t="str">
        <f t="shared" si="69"/>
        <v/>
      </c>
      <c r="AI119" s="34" t="str">
        <f t="shared" si="69"/>
        <v/>
      </c>
      <c r="AJ119" s="34" t="str">
        <f t="shared" si="69"/>
        <v/>
      </c>
      <c r="AK119" s="34" t="str">
        <f t="shared" si="69"/>
        <v/>
      </c>
      <c r="AL119" s="34" t="str">
        <f t="shared" si="69"/>
        <v/>
      </c>
      <c r="AM119" s="34" t="str">
        <f t="shared" si="79"/>
        <v/>
      </c>
      <c r="AN119" s="34" t="str">
        <f t="shared" si="79"/>
        <v/>
      </c>
      <c r="AO119" s="34" t="str">
        <f t="shared" si="75"/>
        <v/>
      </c>
      <c r="AP119" s="34" t="str">
        <f t="shared" si="75"/>
        <v/>
      </c>
      <c r="AQ119" s="34" t="str">
        <f t="shared" si="75"/>
        <v/>
      </c>
      <c r="AR119" s="34" t="str">
        <f t="shared" si="75"/>
        <v/>
      </c>
      <c r="AS119" s="34" t="str">
        <f t="shared" si="75"/>
        <v/>
      </c>
      <c r="AT119" s="34" t="str">
        <f t="shared" si="80"/>
        <v/>
      </c>
      <c r="AU119" s="34" t="str">
        <f t="shared" si="80"/>
        <v/>
      </c>
      <c r="AV119" s="34" t="str">
        <f t="shared" si="76"/>
        <v/>
      </c>
      <c r="AW119" s="34" t="str">
        <f t="shared" si="76"/>
        <v/>
      </c>
      <c r="AX119" s="34" t="str">
        <f t="shared" si="76"/>
        <v/>
      </c>
      <c r="AY119" s="34" t="str">
        <f t="shared" si="76"/>
        <v/>
      </c>
      <c r="AZ119" s="34" t="str">
        <f t="shared" si="76"/>
        <v/>
      </c>
      <c r="BA119" s="34" t="str">
        <f t="shared" si="81"/>
        <v/>
      </c>
      <c r="BB119" s="34" t="str">
        <f t="shared" si="81"/>
        <v/>
      </c>
      <c r="BC119" s="34" t="str">
        <f t="shared" si="72"/>
        <v/>
      </c>
      <c r="BD119" s="34" t="str">
        <f t="shared" si="72"/>
        <v/>
      </c>
      <c r="BE119" s="34" t="str">
        <f t="shared" si="72"/>
        <v/>
      </c>
      <c r="BF119" s="34" t="str">
        <f t="shared" si="72"/>
        <v/>
      </c>
      <c r="BG119" s="34" t="str">
        <f t="shared" si="72"/>
        <v/>
      </c>
      <c r="BH119" s="34" t="str">
        <f t="shared" si="81"/>
        <v/>
      </c>
      <c r="BI119" s="34" t="str">
        <f t="shared" si="81"/>
        <v/>
      </c>
      <c r="BJ119" s="34" t="str">
        <f t="shared" si="81"/>
        <v/>
      </c>
      <c r="BK119" s="34" t="str">
        <f t="shared" si="82"/>
        <v/>
      </c>
      <c r="BL119" s="34" t="str">
        <f t="shared" si="82"/>
        <v/>
      </c>
      <c r="BM119" s="34" t="str">
        <f t="shared" si="82"/>
        <v/>
      </c>
      <c r="BN119" s="34" t="str">
        <f t="shared" si="82"/>
        <v/>
      </c>
      <c r="BO119" s="34" t="str">
        <f t="shared" si="82"/>
        <v/>
      </c>
      <c r="BP119" s="34" t="str">
        <f t="shared" si="82"/>
        <v/>
      </c>
    </row>
    <row r="120" spans="2:68" outlineLevel="2" x14ac:dyDescent="0.25">
      <c r="B120" s="32">
        <f t="shared" si="58"/>
        <v>111</v>
      </c>
      <c r="C120" s="33" t="s">
        <v>5</v>
      </c>
      <c r="D120" s="34" t="s">
        <v>61</v>
      </c>
      <c r="E120" s="34"/>
      <c r="F120" s="40"/>
      <c r="G120" s="33">
        <v>1</v>
      </c>
      <c r="H120" s="35">
        <f t="shared" si="73"/>
        <v>46359</v>
      </c>
      <c r="I120" s="35" cm="1">
        <f t="array" ref="I120">IF(G120&lt;&gt;"",WORKDAY(Start,Duration-1),IF(Type="M",WORKDAY(Start,Duration-1),""))</f>
        <v>46359</v>
      </c>
      <c r="J120" s="43"/>
      <c r="K120" s="47" t="s">
        <v>99</v>
      </c>
      <c r="L120" s="34"/>
      <c r="M120" s="36" t="str">
        <f t="shared" si="66"/>
        <v/>
      </c>
      <c r="N120" s="34" t="str">
        <f t="shared" si="66"/>
        <v/>
      </c>
      <c r="O120" s="34" t="str">
        <f t="shared" si="66"/>
        <v/>
      </c>
      <c r="P120" s="34" t="str">
        <f t="shared" si="66"/>
        <v/>
      </c>
      <c r="Q120" s="34" t="str">
        <f t="shared" si="66"/>
        <v/>
      </c>
      <c r="R120" s="34" t="str">
        <f t="shared" si="77"/>
        <v/>
      </c>
      <c r="S120" s="34" t="str">
        <f t="shared" si="77"/>
        <v/>
      </c>
      <c r="T120" s="34" t="str">
        <f t="shared" si="74"/>
        <v/>
      </c>
      <c r="U120" s="34" t="str">
        <f t="shared" si="74"/>
        <v/>
      </c>
      <c r="V120" s="34" t="str">
        <f t="shared" si="74"/>
        <v/>
      </c>
      <c r="W120" s="34" t="str">
        <f t="shared" si="74"/>
        <v/>
      </c>
      <c r="X120" s="34" t="str">
        <f t="shared" si="74"/>
        <v/>
      </c>
      <c r="Y120" s="34" t="str">
        <f t="shared" si="78"/>
        <v/>
      </c>
      <c r="Z120" s="34" t="str">
        <f t="shared" si="78"/>
        <v/>
      </c>
      <c r="AA120" s="34" t="str">
        <f t="shared" si="78"/>
        <v/>
      </c>
      <c r="AB120" s="34" t="str">
        <f t="shared" si="78"/>
        <v/>
      </c>
      <c r="AC120" s="34" t="str">
        <f t="shared" si="78"/>
        <v/>
      </c>
      <c r="AD120" s="34" t="str">
        <f t="shared" si="78"/>
        <v/>
      </c>
      <c r="AE120" s="34" t="str">
        <f t="shared" si="78"/>
        <v/>
      </c>
      <c r="AF120" s="34" t="str">
        <f t="shared" si="78"/>
        <v/>
      </c>
      <c r="AG120" s="34" t="str">
        <f t="shared" si="79"/>
        <v/>
      </c>
      <c r="AH120" s="34" t="str">
        <f t="shared" si="69"/>
        <v/>
      </c>
      <c r="AI120" s="34" t="str">
        <f t="shared" si="69"/>
        <v/>
      </c>
      <c r="AJ120" s="34" t="str">
        <f t="shared" si="69"/>
        <v/>
      </c>
      <c r="AK120" s="34" t="str">
        <f t="shared" si="69"/>
        <v/>
      </c>
      <c r="AL120" s="34" t="str">
        <f t="shared" si="69"/>
        <v/>
      </c>
      <c r="AM120" s="34" t="str">
        <f t="shared" si="79"/>
        <v/>
      </c>
      <c r="AN120" s="34" t="str">
        <f t="shared" si="79"/>
        <v/>
      </c>
      <c r="AO120" s="34" t="str">
        <f t="shared" si="75"/>
        <v/>
      </c>
      <c r="AP120" s="34" t="str">
        <f t="shared" si="75"/>
        <v/>
      </c>
      <c r="AQ120" s="34" t="str">
        <f t="shared" si="75"/>
        <v/>
      </c>
      <c r="AR120" s="34" t="str">
        <f t="shared" si="75"/>
        <v/>
      </c>
      <c r="AS120" s="34" t="str">
        <f t="shared" si="75"/>
        <v/>
      </c>
      <c r="AT120" s="34" t="str">
        <f t="shared" si="80"/>
        <v/>
      </c>
      <c r="AU120" s="34" t="str">
        <f t="shared" si="80"/>
        <v/>
      </c>
      <c r="AV120" s="34" t="str">
        <f t="shared" si="76"/>
        <v/>
      </c>
      <c r="AW120" s="34" t="str">
        <f t="shared" si="76"/>
        <v/>
      </c>
      <c r="AX120" s="34" t="str">
        <f t="shared" si="76"/>
        <v/>
      </c>
      <c r="AY120" s="34" t="str">
        <f t="shared" si="76"/>
        <v/>
      </c>
      <c r="AZ120" s="34" t="str">
        <f t="shared" si="76"/>
        <v/>
      </c>
      <c r="BA120" s="34" t="str">
        <f t="shared" si="81"/>
        <v/>
      </c>
      <c r="BB120" s="34" t="str">
        <f t="shared" si="81"/>
        <v/>
      </c>
      <c r="BC120" s="34" t="str">
        <f t="shared" si="72"/>
        <v/>
      </c>
      <c r="BD120" s="34" t="str">
        <f t="shared" si="72"/>
        <v/>
      </c>
      <c r="BE120" s="34" t="str">
        <f t="shared" si="72"/>
        <v/>
      </c>
      <c r="BF120" s="34" t="str">
        <f t="shared" si="72"/>
        <v/>
      </c>
      <c r="BG120" s="34" t="str">
        <f t="shared" si="72"/>
        <v/>
      </c>
      <c r="BH120" s="34" t="str">
        <f t="shared" si="81"/>
        <v/>
      </c>
      <c r="BI120" s="34" t="str">
        <f t="shared" si="81"/>
        <v/>
      </c>
      <c r="BJ120" s="34" t="str">
        <f t="shared" si="81"/>
        <v/>
      </c>
      <c r="BK120" s="34" t="str">
        <f t="shared" si="82"/>
        <v/>
      </c>
      <c r="BL120" s="34" t="str">
        <f t="shared" si="82"/>
        <v/>
      </c>
      <c r="BM120" s="34" t="str">
        <f t="shared" si="82"/>
        <v/>
      </c>
      <c r="BN120" s="34" t="str">
        <f t="shared" si="82"/>
        <v/>
      </c>
      <c r="BO120" s="34" t="str">
        <f t="shared" si="82"/>
        <v/>
      </c>
      <c r="BP120" s="34" t="str">
        <f t="shared" si="82"/>
        <v/>
      </c>
    </row>
    <row r="121" spans="2:68" outlineLevel="2" x14ac:dyDescent="0.25">
      <c r="B121" s="32">
        <f t="shared" si="58"/>
        <v>112</v>
      </c>
      <c r="C121" s="33" t="s">
        <v>5</v>
      </c>
      <c r="D121" s="34" t="s">
        <v>62</v>
      </c>
      <c r="E121" s="34"/>
      <c r="F121" s="40"/>
      <c r="G121" s="33">
        <v>1</v>
      </c>
      <c r="H121" s="35">
        <f t="shared" si="73"/>
        <v>46360</v>
      </c>
      <c r="I121" s="35" cm="1">
        <f t="array" ref="I121">IF(G121&lt;&gt;"",WORKDAY(Start,Duration-1),IF(Type="M",WORKDAY(Start,Duration-1),""))</f>
        <v>46360</v>
      </c>
      <c r="J121" s="43"/>
      <c r="K121" s="47" t="s">
        <v>99</v>
      </c>
      <c r="L121" s="34"/>
      <c r="M121" s="36" t="str">
        <f t="shared" si="66"/>
        <v/>
      </c>
      <c r="N121" s="34" t="str">
        <f t="shared" si="66"/>
        <v/>
      </c>
      <c r="O121" s="34" t="str">
        <f t="shared" si="66"/>
        <v/>
      </c>
      <c r="P121" s="34" t="str">
        <f t="shared" si="66"/>
        <v/>
      </c>
      <c r="Q121" s="34" t="str">
        <f t="shared" si="66"/>
        <v/>
      </c>
      <c r="R121" s="34" t="str">
        <f t="shared" si="77"/>
        <v/>
      </c>
      <c r="S121" s="34" t="str">
        <f t="shared" si="77"/>
        <v/>
      </c>
      <c r="T121" s="34" t="str">
        <f t="shared" si="74"/>
        <v/>
      </c>
      <c r="U121" s="34" t="str">
        <f t="shared" si="74"/>
        <v/>
      </c>
      <c r="V121" s="34" t="str">
        <f t="shared" si="74"/>
        <v/>
      </c>
      <c r="W121" s="34" t="str">
        <f t="shared" si="74"/>
        <v/>
      </c>
      <c r="X121" s="34" t="str">
        <f t="shared" si="74"/>
        <v/>
      </c>
      <c r="Y121" s="34" t="str">
        <f t="shared" si="78"/>
        <v/>
      </c>
      <c r="Z121" s="34" t="str">
        <f t="shared" si="78"/>
        <v/>
      </c>
      <c r="AA121" s="34" t="str">
        <f t="shared" si="78"/>
        <v/>
      </c>
      <c r="AB121" s="34" t="str">
        <f t="shared" si="78"/>
        <v/>
      </c>
      <c r="AC121" s="34" t="str">
        <f t="shared" si="78"/>
        <v/>
      </c>
      <c r="AD121" s="34" t="str">
        <f t="shared" si="78"/>
        <v/>
      </c>
      <c r="AE121" s="34" t="str">
        <f t="shared" si="78"/>
        <v/>
      </c>
      <c r="AF121" s="34" t="str">
        <f t="shared" si="78"/>
        <v/>
      </c>
      <c r="AG121" s="34" t="str">
        <f t="shared" si="79"/>
        <v/>
      </c>
      <c r="AH121" s="34" t="str">
        <f t="shared" si="69"/>
        <v/>
      </c>
      <c r="AI121" s="34" t="str">
        <f t="shared" si="69"/>
        <v/>
      </c>
      <c r="AJ121" s="34" t="str">
        <f t="shared" si="69"/>
        <v/>
      </c>
      <c r="AK121" s="34" t="str">
        <f t="shared" si="69"/>
        <v/>
      </c>
      <c r="AL121" s="34" t="str">
        <f t="shared" si="69"/>
        <v/>
      </c>
      <c r="AM121" s="34" t="str">
        <f t="shared" si="79"/>
        <v/>
      </c>
      <c r="AN121" s="34" t="str">
        <f t="shared" si="79"/>
        <v/>
      </c>
      <c r="AO121" s="34" t="str">
        <f t="shared" si="75"/>
        <v/>
      </c>
      <c r="AP121" s="34" t="str">
        <f t="shared" si="75"/>
        <v/>
      </c>
      <c r="AQ121" s="34" t="str">
        <f t="shared" si="75"/>
        <v/>
      </c>
      <c r="AR121" s="34" t="str">
        <f t="shared" si="75"/>
        <v/>
      </c>
      <c r="AS121" s="34" t="str">
        <f t="shared" si="75"/>
        <v/>
      </c>
      <c r="AT121" s="34" t="str">
        <f t="shared" si="80"/>
        <v/>
      </c>
      <c r="AU121" s="34" t="str">
        <f t="shared" si="80"/>
        <v/>
      </c>
      <c r="AV121" s="34" t="str">
        <f t="shared" si="76"/>
        <v/>
      </c>
      <c r="AW121" s="34" t="str">
        <f t="shared" si="76"/>
        <v/>
      </c>
      <c r="AX121" s="34" t="str">
        <f t="shared" si="76"/>
        <v/>
      </c>
      <c r="AY121" s="34" t="str">
        <f t="shared" si="76"/>
        <v/>
      </c>
      <c r="AZ121" s="34" t="str">
        <f t="shared" si="76"/>
        <v/>
      </c>
      <c r="BA121" s="34" t="str">
        <f t="shared" si="81"/>
        <v/>
      </c>
      <c r="BB121" s="34" t="str">
        <f t="shared" si="81"/>
        <v/>
      </c>
      <c r="BC121" s="34" t="str">
        <f t="shared" si="72"/>
        <v/>
      </c>
      <c r="BD121" s="34" t="str">
        <f t="shared" si="72"/>
        <v/>
      </c>
      <c r="BE121" s="34" t="str">
        <f t="shared" si="72"/>
        <v/>
      </c>
      <c r="BF121" s="34" t="str">
        <f t="shared" si="72"/>
        <v/>
      </c>
      <c r="BG121" s="34" t="str">
        <f t="shared" si="72"/>
        <v/>
      </c>
      <c r="BH121" s="34" t="str">
        <f t="shared" si="81"/>
        <v/>
      </c>
      <c r="BI121" s="34" t="str">
        <f t="shared" si="81"/>
        <v/>
      </c>
      <c r="BJ121" s="34" t="str">
        <f t="shared" si="81"/>
        <v/>
      </c>
      <c r="BK121" s="34" t="str">
        <f t="shared" si="82"/>
        <v/>
      </c>
      <c r="BL121" s="34" t="str">
        <f t="shared" si="82"/>
        <v/>
      </c>
      <c r="BM121" s="34" t="str">
        <f t="shared" si="82"/>
        <v/>
      </c>
      <c r="BN121" s="34" t="str">
        <f t="shared" si="82"/>
        <v/>
      </c>
      <c r="BO121" s="34" t="str">
        <f t="shared" si="82"/>
        <v/>
      </c>
      <c r="BP121" s="34" t="str">
        <f t="shared" si="82"/>
        <v/>
      </c>
    </row>
    <row r="122" spans="2:68" outlineLevel="2" x14ac:dyDescent="0.25">
      <c r="B122" s="32">
        <f t="shared" si="58"/>
        <v>113</v>
      </c>
      <c r="C122" s="33" t="s">
        <v>5</v>
      </c>
      <c r="D122" s="34" t="s">
        <v>64</v>
      </c>
      <c r="E122" s="34"/>
      <c r="F122" s="40"/>
      <c r="G122" s="33">
        <v>2</v>
      </c>
      <c r="H122" s="35">
        <f t="shared" si="73"/>
        <v>46363</v>
      </c>
      <c r="I122" s="35" cm="1">
        <f t="array" ref="I122">IF(G122&lt;&gt;"",WORKDAY(Start,Duration-1),IF(Type="M",WORKDAY(Start,Duration-1),""))</f>
        <v>46364</v>
      </c>
      <c r="J122" s="43"/>
      <c r="K122" s="47" t="s">
        <v>99</v>
      </c>
      <c r="L122" s="34" t="s">
        <v>422</v>
      </c>
      <c r="M122" s="36" t="str">
        <f t="shared" si="66"/>
        <v/>
      </c>
      <c r="N122" s="34" t="str">
        <f t="shared" si="66"/>
        <v/>
      </c>
      <c r="O122" s="34" t="str">
        <f t="shared" si="66"/>
        <v/>
      </c>
      <c r="P122" s="34" t="str">
        <f t="shared" si="66"/>
        <v/>
      </c>
      <c r="Q122" s="34" t="str">
        <f t="shared" si="66"/>
        <v/>
      </c>
      <c r="R122" s="34" t="str">
        <f t="shared" si="77"/>
        <v/>
      </c>
      <c r="S122" s="34" t="str">
        <f t="shared" si="77"/>
        <v/>
      </c>
      <c r="T122" s="34" t="str">
        <f t="shared" si="74"/>
        <v/>
      </c>
      <c r="U122" s="34" t="str">
        <f t="shared" si="74"/>
        <v/>
      </c>
      <c r="V122" s="34" t="str">
        <f t="shared" si="74"/>
        <v/>
      </c>
      <c r="W122" s="34" t="str">
        <f t="shared" si="74"/>
        <v/>
      </c>
      <c r="X122" s="34" t="str">
        <f t="shared" si="74"/>
        <v/>
      </c>
      <c r="Y122" s="34" t="str">
        <f t="shared" si="78"/>
        <v/>
      </c>
      <c r="Z122" s="34" t="str">
        <f t="shared" si="78"/>
        <v/>
      </c>
      <c r="AA122" s="34" t="str">
        <f t="shared" si="78"/>
        <v/>
      </c>
      <c r="AB122" s="34" t="str">
        <f t="shared" si="78"/>
        <v/>
      </c>
      <c r="AC122" s="34" t="str">
        <f t="shared" si="78"/>
        <v/>
      </c>
      <c r="AD122" s="34" t="str">
        <f t="shared" si="78"/>
        <v/>
      </c>
      <c r="AE122" s="34" t="str">
        <f t="shared" si="78"/>
        <v/>
      </c>
      <c r="AF122" s="34" t="str">
        <f t="shared" si="78"/>
        <v/>
      </c>
      <c r="AG122" s="34" t="str">
        <f t="shared" si="79"/>
        <v/>
      </c>
      <c r="AH122" s="34" t="str">
        <f t="shared" si="69"/>
        <v/>
      </c>
      <c r="AI122" s="34" t="str">
        <f t="shared" si="69"/>
        <v/>
      </c>
      <c r="AJ122" s="34" t="str">
        <f t="shared" si="69"/>
        <v/>
      </c>
      <c r="AK122" s="34" t="str">
        <f t="shared" si="69"/>
        <v/>
      </c>
      <c r="AL122" s="34" t="str">
        <f t="shared" si="69"/>
        <v/>
      </c>
      <c r="AM122" s="34" t="str">
        <f t="shared" si="79"/>
        <v/>
      </c>
      <c r="AN122" s="34" t="str">
        <f t="shared" si="79"/>
        <v/>
      </c>
      <c r="AO122" s="34" t="str">
        <f t="shared" si="75"/>
        <v/>
      </c>
      <c r="AP122" s="34" t="str">
        <f t="shared" si="75"/>
        <v/>
      </c>
      <c r="AQ122" s="34" t="str">
        <f t="shared" si="75"/>
        <v/>
      </c>
      <c r="AR122" s="34" t="str">
        <f t="shared" si="75"/>
        <v/>
      </c>
      <c r="AS122" s="34" t="str">
        <f t="shared" si="75"/>
        <v/>
      </c>
      <c r="AT122" s="34" t="str">
        <f t="shared" si="80"/>
        <v/>
      </c>
      <c r="AU122" s="34" t="str">
        <f t="shared" si="80"/>
        <v/>
      </c>
      <c r="AV122" s="34" t="str">
        <f t="shared" si="76"/>
        <v/>
      </c>
      <c r="AW122" s="34" t="str">
        <f t="shared" si="76"/>
        <v/>
      </c>
      <c r="AX122" s="34" t="str">
        <f t="shared" si="76"/>
        <v/>
      </c>
      <c r="AY122" s="34" t="str">
        <f t="shared" si="76"/>
        <v/>
      </c>
      <c r="AZ122" s="34" t="str">
        <f t="shared" si="76"/>
        <v/>
      </c>
      <c r="BA122" s="34" t="str">
        <f t="shared" si="81"/>
        <v/>
      </c>
      <c r="BB122" s="34" t="str">
        <f t="shared" si="81"/>
        <v/>
      </c>
      <c r="BC122" s="34" t="str">
        <f t="shared" si="72"/>
        <v/>
      </c>
      <c r="BD122" s="34" t="str">
        <f t="shared" si="72"/>
        <v/>
      </c>
      <c r="BE122" s="34" t="str">
        <f t="shared" si="72"/>
        <v/>
      </c>
      <c r="BF122" s="34" t="str">
        <f t="shared" si="72"/>
        <v/>
      </c>
      <c r="BG122" s="34" t="str">
        <f t="shared" si="72"/>
        <v/>
      </c>
      <c r="BH122" s="34" t="str">
        <f t="shared" si="81"/>
        <v/>
      </c>
      <c r="BI122" s="34" t="str">
        <f t="shared" si="81"/>
        <v/>
      </c>
      <c r="BJ122" s="34" t="str">
        <f t="shared" si="81"/>
        <v/>
      </c>
      <c r="BK122" s="34" t="str">
        <f t="shared" si="82"/>
        <v/>
      </c>
      <c r="BL122" s="34" t="str">
        <f t="shared" si="82"/>
        <v/>
      </c>
      <c r="BM122" s="34" t="str">
        <f t="shared" si="82"/>
        <v/>
      </c>
      <c r="BN122" s="34" t="str">
        <f t="shared" si="82"/>
        <v/>
      </c>
      <c r="BO122" s="34" t="str">
        <f t="shared" si="82"/>
        <v/>
      </c>
      <c r="BP122" s="34" t="str">
        <f t="shared" si="82"/>
        <v/>
      </c>
    </row>
    <row r="123" spans="2:68" outlineLevel="1" x14ac:dyDescent="0.25">
      <c r="B123" s="32">
        <f t="shared" si="58"/>
        <v>114</v>
      </c>
      <c r="C123" s="33" t="s">
        <v>1</v>
      </c>
      <c r="D123" s="37" t="s">
        <v>34</v>
      </c>
      <c r="E123" s="37"/>
      <c r="F123" s="41"/>
      <c r="G123" s="33">
        <f>SUM(G124:G133)</f>
        <v>33</v>
      </c>
      <c r="H123" s="35">
        <f t="shared" si="73"/>
        <v>46365</v>
      </c>
      <c r="I123" s="35" cm="1">
        <f t="array" ref="I123">IF(G123&lt;&gt;"",WORKDAY(Start,Duration-1),IF(Type="M",WORKDAY(Start,Duration-1),""))</f>
        <v>46409</v>
      </c>
      <c r="J123" s="43" cm="1">
        <f t="array" ref="J123">SUM(J124:J133*G124:G133)/SUM(G124:G133)</f>
        <v>0</v>
      </c>
      <c r="K123" s="46"/>
      <c r="L123" s="34"/>
      <c r="M123" s="36" t="str">
        <f t="shared" si="66"/>
        <v/>
      </c>
      <c r="N123" s="34" t="str">
        <f t="shared" si="66"/>
        <v/>
      </c>
      <c r="O123" s="34" t="str">
        <f t="shared" si="66"/>
        <v/>
      </c>
      <c r="P123" s="34" t="str">
        <f t="shared" si="66"/>
        <v/>
      </c>
      <c r="Q123" s="34" t="str">
        <f t="shared" si="66"/>
        <v/>
      </c>
      <c r="R123" s="34" t="str">
        <f t="shared" si="77"/>
        <v/>
      </c>
      <c r="S123" s="34" t="str">
        <f t="shared" si="77"/>
        <v/>
      </c>
      <c r="T123" s="34" t="str">
        <f t="shared" si="74"/>
        <v/>
      </c>
      <c r="U123" s="34" t="str">
        <f t="shared" si="74"/>
        <v/>
      </c>
      <c r="V123" s="34" t="str">
        <f t="shared" si="74"/>
        <v/>
      </c>
      <c r="W123" s="34" t="str">
        <f t="shared" si="74"/>
        <v/>
      </c>
      <c r="X123" s="34" t="str">
        <f t="shared" si="74"/>
        <v/>
      </c>
      <c r="Y123" s="34" t="str">
        <f t="shared" si="78"/>
        <v/>
      </c>
      <c r="Z123" s="34" t="str">
        <f t="shared" si="78"/>
        <v/>
      </c>
      <c r="AA123" s="34" t="str">
        <f t="shared" si="78"/>
        <v/>
      </c>
      <c r="AB123" s="34" t="str">
        <f t="shared" si="78"/>
        <v/>
      </c>
      <c r="AC123" s="34" t="str">
        <f t="shared" si="78"/>
        <v/>
      </c>
      <c r="AD123" s="34" t="str">
        <f t="shared" si="78"/>
        <v/>
      </c>
      <c r="AE123" s="34" t="str">
        <f t="shared" si="78"/>
        <v/>
      </c>
      <c r="AF123" s="34" t="str">
        <f t="shared" si="78"/>
        <v/>
      </c>
      <c r="AG123" s="34" t="str">
        <f t="shared" si="79"/>
        <v/>
      </c>
      <c r="AH123" s="34" t="str">
        <f t="shared" si="69"/>
        <v/>
      </c>
      <c r="AI123" s="34" t="str">
        <f t="shared" si="69"/>
        <v/>
      </c>
      <c r="AJ123" s="34" t="str">
        <f t="shared" si="69"/>
        <v/>
      </c>
      <c r="AK123" s="34" t="str">
        <f t="shared" si="69"/>
        <v/>
      </c>
      <c r="AL123" s="34" t="str">
        <f t="shared" si="69"/>
        <v/>
      </c>
      <c r="AM123" s="34" t="str">
        <f t="shared" si="79"/>
        <v/>
      </c>
      <c r="AN123" s="34" t="str">
        <f t="shared" si="79"/>
        <v/>
      </c>
      <c r="AO123" s="34" t="str">
        <f t="shared" si="75"/>
        <v/>
      </c>
      <c r="AP123" s="34" t="str">
        <f t="shared" si="75"/>
        <v/>
      </c>
      <c r="AQ123" s="34" t="str">
        <f t="shared" si="75"/>
        <v/>
      </c>
      <c r="AR123" s="34" t="str">
        <f t="shared" si="75"/>
        <v/>
      </c>
      <c r="AS123" s="34" t="str">
        <f t="shared" si="75"/>
        <v/>
      </c>
      <c r="AT123" s="34" t="str">
        <f t="shared" si="80"/>
        <v/>
      </c>
      <c r="AU123" s="34" t="str">
        <f t="shared" si="80"/>
        <v/>
      </c>
      <c r="AV123" s="34" t="str">
        <f t="shared" si="76"/>
        <v/>
      </c>
      <c r="AW123" s="34" t="str">
        <f t="shared" si="76"/>
        <v/>
      </c>
      <c r="AX123" s="34" t="str">
        <f t="shared" si="76"/>
        <v/>
      </c>
      <c r="AY123" s="34" t="str">
        <f t="shared" si="76"/>
        <v/>
      </c>
      <c r="AZ123" s="34" t="str">
        <f t="shared" si="76"/>
        <v/>
      </c>
      <c r="BA123" s="34" t="str">
        <f t="shared" si="81"/>
        <v/>
      </c>
      <c r="BB123" s="34" t="str">
        <f t="shared" si="81"/>
        <v/>
      </c>
      <c r="BC123" s="34" t="str">
        <f t="shared" si="72"/>
        <v/>
      </c>
      <c r="BD123" s="34" t="str">
        <f t="shared" si="72"/>
        <v/>
      </c>
      <c r="BE123" s="34" t="str">
        <f t="shared" si="72"/>
        <v/>
      </c>
      <c r="BF123" s="34" t="str">
        <f t="shared" si="72"/>
        <v/>
      </c>
      <c r="BG123" s="34" t="str">
        <f t="shared" si="72"/>
        <v/>
      </c>
      <c r="BH123" s="34" t="str">
        <f t="shared" si="81"/>
        <v/>
      </c>
      <c r="BI123" s="34" t="str">
        <f t="shared" si="81"/>
        <v/>
      </c>
      <c r="BJ123" s="34" t="str">
        <f t="shared" si="81"/>
        <v/>
      </c>
      <c r="BK123" s="34" t="str">
        <f t="shared" si="82"/>
        <v/>
      </c>
      <c r="BL123" s="34" t="str">
        <f t="shared" si="82"/>
        <v/>
      </c>
      <c r="BM123" s="34" t="str">
        <f t="shared" si="82"/>
        <v/>
      </c>
      <c r="BN123" s="34" t="str">
        <f t="shared" si="82"/>
        <v/>
      </c>
      <c r="BO123" s="34" t="str">
        <f t="shared" si="82"/>
        <v/>
      </c>
      <c r="BP123" s="34" t="str">
        <f t="shared" si="82"/>
        <v/>
      </c>
    </row>
    <row r="124" spans="2:68" outlineLevel="2" x14ac:dyDescent="0.25">
      <c r="B124" s="32">
        <f t="shared" si="58"/>
        <v>115</v>
      </c>
      <c r="C124" s="33" t="s">
        <v>5</v>
      </c>
      <c r="D124" s="34" t="s">
        <v>527</v>
      </c>
      <c r="E124" s="37"/>
      <c r="F124" s="41"/>
      <c r="G124" s="33">
        <v>5</v>
      </c>
      <c r="H124" s="35">
        <f>H123</f>
        <v>46365</v>
      </c>
      <c r="I124" s="35" cm="1">
        <f t="array" ref="I124">IF(G124&lt;&gt;"",WORKDAY(Start,Duration-1),IF(Type="M",WORKDAY(Start,Duration-1),""))</f>
        <v>46371</v>
      </c>
      <c r="J124" s="43"/>
      <c r="K124" s="46"/>
      <c r="L124" s="34"/>
      <c r="M124" s="36" t="str">
        <f t="shared" si="66"/>
        <v/>
      </c>
      <c r="N124" s="34" t="str">
        <f t="shared" si="66"/>
        <v/>
      </c>
      <c r="O124" s="34" t="str">
        <f t="shared" si="66"/>
        <v/>
      </c>
      <c r="P124" s="34" t="str">
        <f t="shared" si="66"/>
        <v/>
      </c>
      <c r="Q124" s="34" t="str">
        <f t="shared" si="66"/>
        <v/>
      </c>
      <c r="R124" s="34"/>
      <c r="S124" s="34"/>
      <c r="T124" s="34" t="str">
        <f t="shared" si="74"/>
        <v/>
      </c>
      <c r="U124" s="34" t="str">
        <f t="shared" si="74"/>
        <v/>
      </c>
      <c r="V124" s="34" t="str">
        <f t="shared" si="74"/>
        <v/>
      </c>
      <c r="W124" s="34" t="str">
        <f t="shared" si="74"/>
        <v/>
      </c>
      <c r="X124" s="34" t="str">
        <f t="shared" si="74"/>
        <v/>
      </c>
      <c r="Y124" s="34"/>
      <c r="Z124" s="34"/>
      <c r="AA124" s="34" t="str">
        <f t="shared" si="78"/>
        <v/>
      </c>
      <c r="AB124" s="34" t="str">
        <f t="shared" si="78"/>
        <v/>
      </c>
      <c r="AC124" s="34" t="str">
        <f t="shared" si="78"/>
        <v/>
      </c>
      <c r="AD124" s="34" t="str">
        <f t="shared" si="78"/>
        <v/>
      </c>
      <c r="AE124" s="34" t="str">
        <f t="shared" si="78"/>
        <v/>
      </c>
      <c r="AF124" s="34"/>
      <c r="AG124" s="34"/>
      <c r="AH124" s="34" t="str">
        <f t="shared" si="69"/>
        <v/>
      </c>
      <c r="AI124" s="34" t="str">
        <f t="shared" si="69"/>
        <v/>
      </c>
      <c r="AJ124" s="34" t="str">
        <f t="shared" si="69"/>
        <v/>
      </c>
      <c r="AK124" s="34" t="str">
        <f t="shared" si="69"/>
        <v/>
      </c>
      <c r="AL124" s="34" t="str">
        <f t="shared" si="69"/>
        <v/>
      </c>
      <c r="AM124" s="34"/>
      <c r="AN124" s="34"/>
      <c r="AO124" s="34" t="str">
        <f t="shared" si="75"/>
        <v/>
      </c>
      <c r="AP124" s="34" t="str">
        <f t="shared" si="75"/>
        <v/>
      </c>
      <c r="AQ124" s="34" t="str">
        <f t="shared" si="75"/>
        <v/>
      </c>
      <c r="AR124" s="34" t="str">
        <f t="shared" si="75"/>
        <v/>
      </c>
      <c r="AS124" s="34" t="str">
        <f t="shared" si="75"/>
        <v/>
      </c>
      <c r="AT124" s="34"/>
      <c r="AU124" s="34"/>
      <c r="AV124" s="34" t="str">
        <f t="shared" si="76"/>
        <v/>
      </c>
      <c r="AW124" s="34" t="str">
        <f t="shared" si="76"/>
        <v/>
      </c>
      <c r="AX124" s="34" t="str">
        <f t="shared" si="76"/>
        <v/>
      </c>
      <c r="AY124" s="34" t="str">
        <f t="shared" si="76"/>
        <v/>
      </c>
      <c r="AZ124" s="34" t="str">
        <f t="shared" si="76"/>
        <v/>
      </c>
      <c r="BA124" s="34"/>
      <c r="BB124" s="34"/>
      <c r="BC124" s="34" t="str">
        <f t="shared" si="72"/>
        <v/>
      </c>
      <c r="BD124" s="34" t="str">
        <f t="shared" si="72"/>
        <v/>
      </c>
      <c r="BE124" s="34" t="str">
        <f t="shared" si="72"/>
        <v/>
      </c>
      <c r="BF124" s="34" t="str">
        <f t="shared" si="72"/>
        <v/>
      </c>
      <c r="BG124" s="34" t="str">
        <f t="shared" si="72"/>
        <v/>
      </c>
      <c r="BH124" s="34"/>
      <c r="BI124" s="34"/>
      <c r="BJ124" s="34"/>
      <c r="BK124" s="34"/>
      <c r="BL124" s="34"/>
      <c r="BM124" s="34"/>
      <c r="BN124" s="34"/>
      <c r="BO124" s="34"/>
      <c r="BP124" s="34"/>
    </row>
    <row r="125" spans="2:68" outlineLevel="2" x14ac:dyDescent="0.25">
      <c r="B125" s="32">
        <f t="shared" si="58"/>
        <v>116</v>
      </c>
      <c r="C125" s="33" t="s">
        <v>5</v>
      </c>
      <c r="D125" s="34" t="s">
        <v>528</v>
      </c>
      <c r="E125" s="37"/>
      <c r="F125" s="41"/>
      <c r="G125" s="33">
        <v>1</v>
      </c>
      <c r="H125" s="35">
        <f t="shared" si="73"/>
        <v>46372</v>
      </c>
      <c r="I125" s="35" cm="1">
        <f t="array" ref="I125">IF(G125&lt;&gt;"",WORKDAY(Start,Duration-1),IF(Type="M",WORKDAY(Start,Duration-1),""))</f>
        <v>46372</v>
      </c>
      <c r="J125" s="43"/>
      <c r="K125" s="46"/>
      <c r="L125" s="34" t="s">
        <v>529</v>
      </c>
      <c r="M125" s="36" t="str">
        <f t="shared" si="66"/>
        <v/>
      </c>
      <c r="N125" s="34" t="str">
        <f t="shared" si="66"/>
        <v/>
      </c>
      <c r="O125" s="34" t="str">
        <f t="shared" si="66"/>
        <v/>
      </c>
      <c r="P125" s="34" t="str">
        <f t="shared" si="66"/>
        <v/>
      </c>
      <c r="Q125" s="34" t="str">
        <f t="shared" si="66"/>
        <v/>
      </c>
      <c r="R125" s="34"/>
      <c r="S125" s="34"/>
      <c r="T125" s="34" t="str">
        <f t="shared" si="74"/>
        <v/>
      </c>
      <c r="U125" s="34" t="str">
        <f t="shared" si="74"/>
        <v/>
      </c>
      <c r="V125" s="34" t="str">
        <f t="shared" si="74"/>
        <v/>
      </c>
      <c r="W125" s="34" t="str">
        <f t="shared" si="74"/>
        <v/>
      </c>
      <c r="X125" s="34" t="str">
        <f t="shared" si="74"/>
        <v/>
      </c>
      <c r="Y125" s="34"/>
      <c r="Z125" s="34"/>
      <c r="AA125" s="34" t="str">
        <f t="shared" si="78"/>
        <v/>
      </c>
      <c r="AB125" s="34" t="str">
        <f t="shared" si="78"/>
        <v/>
      </c>
      <c r="AC125" s="34" t="str">
        <f t="shared" si="78"/>
        <v/>
      </c>
      <c r="AD125" s="34" t="str">
        <f t="shared" si="78"/>
        <v/>
      </c>
      <c r="AE125" s="34" t="str">
        <f t="shared" si="78"/>
        <v/>
      </c>
      <c r="AF125" s="34"/>
      <c r="AG125" s="34"/>
      <c r="AH125" s="34" t="str">
        <f t="shared" si="69"/>
        <v/>
      </c>
      <c r="AI125" s="34" t="str">
        <f t="shared" si="69"/>
        <v/>
      </c>
      <c r="AJ125" s="34" t="str">
        <f t="shared" si="69"/>
        <v/>
      </c>
      <c r="AK125" s="34" t="str">
        <f t="shared" si="69"/>
        <v/>
      </c>
      <c r="AL125" s="34" t="str">
        <f t="shared" si="69"/>
        <v/>
      </c>
      <c r="AM125" s="34"/>
      <c r="AN125" s="34"/>
      <c r="AO125" s="34" t="str">
        <f t="shared" si="75"/>
        <v/>
      </c>
      <c r="AP125" s="34" t="str">
        <f t="shared" si="75"/>
        <v/>
      </c>
      <c r="AQ125" s="34" t="str">
        <f t="shared" si="75"/>
        <v/>
      </c>
      <c r="AR125" s="34" t="str">
        <f t="shared" si="75"/>
        <v/>
      </c>
      <c r="AS125" s="34" t="str">
        <f t="shared" si="75"/>
        <v/>
      </c>
      <c r="AT125" s="34"/>
      <c r="AU125" s="34"/>
      <c r="AV125" s="34" t="str">
        <f t="shared" si="76"/>
        <v/>
      </c>
      <c r="AW125" s="34" t="str">
        <f t="shared" si="76"/>
        <v/>
      </c>
      <c r="AX125" s="34" t="str">
        <f t="shared" si="76"/>
        <v/>
      </c>
      <c r="AY125" s="34" t="str">
        <f t="shared" si="76"/>
        <v/>
      </c>
      <c r="AZ125" s="34" t="str">
        <f t="shared" si="76"/>
        <v/>
      </c>
      <c r="BA125" s="34"/>
      <c r="BB125" s="34"/>
      <c r="BC125" s="34" t="str">
        <f t="shared" si="72"/>
        <v/>
      </c>
      <c r="BD125" s="34" t="str">
        <f t="shared" si="72"/>
        <v/>
      </c>
      <c r="BE125" s="34" t="str">
        <f t="shared" si="72"/>
        <v/>
      </c>
      <c r="BF125" s="34" t="str">
        <f t="shared" si="72"/>
        <v/>
      </c>
      <c r="BG125" s="34" t="str">
        <f t="shared" si="72"/>
        <v/>
      </c>
      <c r="BH125" s="34"/>
      <c r="BI125" s="34"/>
      <c r="BJ125" s="34"/>
      <c r="BK125" s="34"/>
      <c r="BL125" s="34"/>
      <c r="BM125" s="34"/>
      <c r="BN125" s="34"/>
      <c r="BO125" s="34"/>
      <c r="BP125" s="34"/>
    </row>
    <row r="126" spans="2:68" outlineLevel="2" x14ac:dyDescent="0.25">
      <c r="B126" s="32">
        <f t="shared" si="58"/>
        <v>117</v>
      </c>
      <c r="C126" s="33" t="s">
        <v>5</v>
      </c>
      <c r="D126" s="34" t="s">
        <v>436</v>
      </c>
      <c r="E126" s="37"/>
      <c r="F126" s="41"/>
      <c r="G126" s="33">
        <v>5</v>
      </c>
      <c r="H126" s="35">
        <f t="shared" si="73"/>
        <v>46373</v>
      </c>
      <c r="I126" s="35" cm="1">
        <f t="array" ref="I126">IF(G126&lt;&gt;"",WORKDAY(Start,Duration-1),IF(Type="M",WORKDAY(Start,Duration-1),""))</f>
        <v>46379</v>
      </c>
      <c r="J126" s="43"/>
      <c r="K126" s="46" t="s">
        <v>415</v>
      </c>
      <c r="L126" s="34"/>
      <c r="M126" s="36" t="str">
        <f t="shared" si="66"/>
        <v/>
      </c>
      <c r="N126" s="34" t="str">
        <f t="shared" si="66"/>
        <v/>
      </c>
      <c r="O126" s="34" t="str">
        <f t="shared" si="66"/>
        <v/>
      </c>
      <c r="P126" s="34" t="str">
        <f t="shared" si="66"/>
        <v/>
      </c>
      <c r="Q126" s="34" t="str">
        <f t="shared" si="66"/>
        <v/>
      </c>
      <c r="R126" s="34"/>
      <c r="S126" s="34"/>
      <c r="T126" s="34" t="str">
        <f t="shared" si="74"/>
        <v/>
      </c>
      <c r="U126" s="34" t="str">
        <f t="shared" si="74"/>
        <v/>
      </c>
      <c r="V126" s="34" t="str">
        <f t="shared" si="74"/>
        <v/>
      </c>
      <c r="W126" s="34" t="str">
        <f t="shared" si="74"/>
        <v/>
      </c>
      <c r="X126" s="34" t="str">
        <f t="shared" si="74"/>
        <v/>
      </c>
      <c r="Y126" s="34"/>
      <c r="Z126" s="34"/>
      <c r="AA126" s="34" t="str">
        <f t="shared" si="78"/>
        <v/>
      </c>
      <c r="AB126" s="34" t="str">
        <f t="shared" si="78"/>
        <v/>
      </c>
      <c r="AC126" s="34" t="str">
        <f t="shared" si="78"/>
        <v/>
      </c>
      <c r="AD126" s="34" t="str">
        <f t="shared" si="78"/>
        <v/>
      </c>
      <c r="AE126" s="34" t="str">
        <f t="shared" si="78"/>
        <v/>
      </c>
      <c r="AF126" s="34"/>
      <c r="AG126" s="34"/>
      <c r="AH126" s="34" t="str">
        <f t="shared" si="69"/>
        <v/>
      </c>
      <c r="AI126" s="34" t="str">
        <f t="shared" si="69"/>
        <v/>
      </c>
      <c r="AJ126" s="34" t="str">
        <f t="shared" si="69"/>
        <v/>
      </c>
      <c r="AK126" s="34" t="str">
        <f t="shared" si="69"/>
        <v/>
      </c>
      <c r="AL126" s="34" t="str">
        <f t="shared" si="69"/>
        <v/>
      </c>
      <c r="AM126" s="34"/>
      <c r="AN126" s="34"/>
      <c r="AO126" s="34" t="str">
        <f t="shared" si="75"/>
        <v/>
      </c>
      <c r="AP126" s="34" t="str">
        <f t="shared" si="75"/>
        <v/>
      </c>
      <c r="AQ126" s="34" t="str">
        <f t="shared" si="75"/>
        <v/>
      </c>
      <c r="AR126" s="34" t="str">
        <f t="shared" si="75"/>
        <v/>
      </c>
      <c r="AS126" s="34" t="str">
        <f t="shared" si="75"/>
        <v/>
      </c>
      <c r="AT126" s="34"/>
      <c r="AU126" s="34"/>
      <c r="AV126" s="34" t="str">
        <f t="shared" si="76"/>
        <v/>
      </c>
      <c r="AW126" s="34" t="str">
        <f t="shared" si="76"/>
        <v/>
      </c>
      <c r="AX126" s="34" t="str">
        <f t="shared" si="76"/>
        <v/>
      </c>
      <c r="AY126" s="34" t="str">
        <f t="shared" si="76"/>
        <v/>
      </c>
      <c r="AZ126" s="34" t="str">
        <f t="shared" si="76"/>
        <v/>
      </c>
      <c r="BA126" s="34"/>
      <c r="BB126" s="34"/>
      <c r="BC126" s="34" t="str">
        <f t="shared" si="72"/>
        <v/>
      </c>
      <c r="BD126" s="34" t="str">
        <f t="shared" si="72"/>
        <v/>
      </c>
      <c r="BE126" s="34" t="str">
        <f t="shared" si="72"/>
        <v/>
      </c>
      <c r="BF126" s="34" t="str">
        <f t="shared" si="72"/>
        <v/>
      </c>
      <c r="BG126" s="34" t="str">
        <f t="shared" si="72"/>
        <v/>
      </c>
      <c r="BH126" s="34"/>
      <c r="BI126" s="34"/>
      <c r="BJ126" s="34"/>
      <c r="BK126" s="34"/>
      <c r="BL126" s="34"/>
      <c r="BM126" s="34"/>
      <c r="BN126" s="34"/>
      <c r="BO126" s="34"/>
      <c r="BP126" s="34"/>
    </row>
    <row r="127" spans="2:68" outlineLevel="2" x14ac:dyDescent="0.25">
      <c r="B127" s="32">
        <f t="shared" si="58"/>
        <v>118</v>
      </c>
      <c r="C127" s="33" t="s">
        <v>5</v>
      </c>
      <c r="D127" s="34" t="s">
        <v>42</v>
      </c>
      <c r="E127" s="34"/>
      <c r="F127" s="40"/>
      <c r="G127" s="33">
        <v>3</v>
      </c>
      <c r="H127" s="35">
        <f t="shared" si="73"/>
        <v>46380</v>
      </c>
      <c r="I127" s="35" cm="1">
        <f t="array" ref="I127">IF(G127&lt;&gt;"",WORKDAY(Start,Duration-1),IF(Type="M",WORKDAY(Start,Duration-1),""))</f>
        <v>46384</v>
      </c>
      <c r="J127" s="43"/>
      <c r="K127" s="47" t="s">
        <v>100</v>
      </c>
      <c r="L127" s="34"/>
      <c r="M127" s="36" t="str">
        <f t="shared" si="66"/>
        <v/>
      </c>
      <c r="N127" s="34" t="str">
        <f t="shared" si="66"/>
        <v/>
      </c>
      <c r="O127" s="34" t="str">
        <f t="shared" si="66"/>
        <v/>
      </c>
      <c r="P127" s="34" t="str">
        <f t="shared" si="66"/>
        <v/>
      </c>
      <c r="Q127" s="34" t="str">
        <f t="shared" si="66"/>
        <v/>
      </c>
      <c r="R127" s="34" t="str">
        <f t="shared" si="77"/>
        <v/>
      </c>
      <c r="S127" s="34" t="str">
        <f t="shared" si="77"/>
        <v/>
      </c>
      <c r="T127" s="34" t="str">
        <f t="shared" si="74"/>
        <v/>
      </c>
      <c r="U127" s="34" t="str">
        <f t="shared" si="74"/>
        <v/>
      </c>
      <c r="V127" s="34" t="str">
        <f t="shared" si="74"/>
        <v/>
      </c>
      <c r="W127" s="34" t="str">
        <f t="shared" si="74"/>
        <v/>
      </c>
      <c r="X127" s="34" t="str">
        <f t="shared" si="74"/>
        <v/>
      </c>
      <c r="Y127" s="34" t="str">
        <f t="shared" si="78"/>
        <v/>
      </c>
      <c r="Z127" s="34" t="str">
        <f t="shared" si="78"/>
        <v/>
      </c>
      <c r="AA127" s="34" t="str">
        <f t="shared" si="78"/>
        <v/>
      </c>
      <c r="AB127" s="34" t="str">
        <f t="shared" si="78"/>
        <v/>
      </c>
      <c r="AC127" s="34" t="str">
        <f t="shared" si="78"/>
        <v/>
      </c>
      <c r="AD127" s="34" t="str">
        <f t="shared" si="78"/>
        <v/>
      </c>
      <c r="AE127" s="34" t="str">
        <f t="shared" si="78"/>
        <v/>
      </c>
      <c r="AF127" s="34" t="str">
        <f t="shared" si="78"/>
        <v/>
      </c>
      <c r="AG127" s="34" t="str">
        <f t="shared" si="79"/>
        <v/>
      </c>
      <c r="AH127" s="34" t="str">
        <f t="shared" si="69"/>
        <v/>
      </c>
      <c r="AI127" s="34" t="str">
        <f t="shared" si="69"/>
        <v/>
      </c>
      <c r="AJ127" s="34" t="str">
        <f t="shared" si="69"/>
        <v/>
      </c>
      <c r="AK127" s="34" t="str">
        <f t="shared" si="69"/>
        <v/>
      </c>
      <c r="AL127" s="34" t="str">
        <f t="shared" si="69"/>
        <v/>
      </c>
      <c r="AM127" s="34" t="str">
        <f t="shared" si="79"/>
        <v/>
      </c>
      <c r="AN127" s="34" t="str">
        <f t="shared" si="79"/>
        <v/>
      </c>
      <c r="AO127" s="34" t="str">
        <f t="shared" si="75"/>
        <v/>
      </c>
      <c r="AP127" s="34" t="str">
        <f t="shared" si="75"/>
        <v/>
      </c>
      <c r="AQ127" s="34" t="str">
        <f t="shared" si="75"/>
        <v/>
      </c>
      <c r="AR127" s="34" t="str">
        <f t="shared" si="75"/>
        <v/>
      </c>
      <c r="AS127" s="34" t="str">
        <f t="shared" si="75"/>
        <v/>
      </c>
      <c r="AT127" s="34" t="str">
        <f t="shared" si="80"/>
        <v/>
      </c>
      <c r="AU127" s="34" t="str">
        <f t="shared" si="80"/>
        <v/>
      </c>
      <c r="AV127" s="34" t="str">
        <f t="shared" si="76"/>
        <v/>
      </c>
      <c r="AW127" s="34" t="str">
        <f t="shared" si="76"/>
        <v/>
      </c>
      <c r="AX127" s="34" t="str">
        <f t="shared" si="76"/>
        <v/>
      </c>
      <c r="AY127" s="34" t="str">
        <f t="shared" si="76"/>
        <v/>
      </c>
      <c r="AZ127" s="34" t="str">
        <f t="shared" si="76"/>
        <v/>
      </c>
      <c r="BA127" s="34" t="str">
        <f t="shared" si="81"/>
        <v/>
      </c>
      <c r="BB127" s="34" t="str">
        <f t="shared" si="81"/>
        <v/>
      </c>
      <c r="BC127" s="34" t="str">
        <f t="shared" si="72"/>
        <v/>
      </c>
      <c r="BD127" s="34" t="str">
        <f t="shared" si="72"/>
        <v/>
      </c>
      <c r="BE127" s="34" t="str">
        <f t="shared" si="72"/>
        <v/>
      </c>
      <c r="BF127" s="34" t="str">
        <f t="shared" si="72"/>
        <v/>
      </c>
      <c r="BG127" s="34" t="str">
        <f t="shared" si="72"/>
        <v/>
      </c>
      <c r="BH127" s="34" t="str">
        <f t="shared" si="81"/>
        <v/>
      </c>
      <c r="BI127" s="34" t="str">
        <f t="shared" si="81"/>
        <v/>
      </c>
      <c r="BJ127" s="34" t="str">
        <f t="shared" si="81"/>
        <v/>
      </c>
      <c r="BK127" s="34" t="str">
        <f t="shared" si="82"/>
        <v/>
      </c>
      <c r="BL127" s="34" t="str">
        <f t="shared" si="82"/>
        <v/>
      </c>
      <c r="BM127" s="34" t="str">
        <f t="shared" si="82"/>
        <v/>
      </c>
      <c r="BN127" s="34" t="str">
        <f t="shared" si="82"/>
        <v/>
      </c>
      <c r="BO127" s="34" t="str">
        <f t="shared" si="82"/>
        <v/>
      </c>
      <c r="BP127" s="34" t="str">
        <f t="shared" si="82"/>
        <v/>
      </c>
    </row>
    <row r="128" spans="2:68" outlineLevel="2" x14ac:dyDescent="0.25">
      <c r="B128" s="32">
        <f t="shared" si="58"/>
        <v>119</v>
      </c>
      <c r="C128" s="33" t="s">
        <v>5</v>
      </c>
      <c r="D128" s="34" t="s">
        <v>43</v>
      </c>
      <c r="E128" s="34"/>
      <c r="F128" s="40"/>
      <c r="G128" s="33">
        <v>2</v>
      </c>
      <c r="H128" s="35">
        <f t="shared" si="73"/>
        <v>46385</v>
      </c>
      <c r="I128" s="35" cm="1">
        <f t="array" ref="I128">IF(G128&lt;&gt;"",WORKDAY(Start,Duration-1),IF(Type="M",WORKDAY(Start,Duration-1),""))</f>
        <v>46386</v>
      </c>
      <c r="J128" s="43"/>
      <c r="K128" s="47" t="s">
        <v>100</v>
      </c>
      <c r="L128" s="34"/>
      <c r="M128" s="36" t="str">
        <f t="shared" si="66"/>
        <v/>
      </c>
      <c r="N128" s="34" t="str">
        <f t="shared" si="66"/>
        <v/>
      </c>
      <c r="O128" s="34" t="str">
        <f t="shared" si="66"/>
        <v/>
      </c>
      <c r="P128" s="34" t="str">
        <f t="shared" si="66"/>
        <v/>
      </c>
      <c r="Q128" s="34" t="str">
        <f t="shared" si="66"/>
        <v/>
      </c>
      <c r="R128" s="34" t="str">
        <f t="shared" si="77"/>
        <v/>
      </c>
      <c r="S128" s="34" t="str">
        <f t="shared" si="77"/>
        <v/>
      </c>
      <c r="T128" s="34" t="str">
        <f t="shared" si="74"/>
        <v/>
      </c>
      <c r="U128" s="34" t="str">
        <f t="shared" si="74"/>
        <v/>
      </c>
      <c r="V128" s="34" t="str">
        <f t="shared" si="74"/>
        <v/>
      </c>
      <c r="W128" s="34" t="str">
        <f t="shared" si="74"/>
        <v/>
      </c>
      <c r="X128" s="34" t="str">
        <f t="shared" si="74"/>
        <v/>
      </c>
      <c r="Y128" s="34" t="str">
        <f t="shared" si="78"/>
        <v/>
      </c>
      <c r="Z128" s="34" t="str">
        <f t="shared" si="78"/>
        <v/>
      </c>
      <c r="AA128" s="34" t="str">
        <f t="shared" si="78"/>
        <v/>
      </c>
      <c r="AB128" s="34" t="str">
        <f t="shared" si="78"/>
        <v/>
      </c>
      <c r="AC128" s="34" t="str">
        <f t="shared" si="78"/>
        <v/>
      </c>
      <c r="AD128" s="34" t="str">
        <f t="shared" si="78"/>
        <v/>
      </c>
      <c r="AE128" s="34" t="str">
        <f t="shared" si="78"/>
        <v/>
      </c>
      <c r="AF128" s="34" t="str">
        <f t="shared" si="78"/>
        <v/>
      </c>
      <c r="AG128" s="34" t="str">
        <f t="shared" si="79"/>
        <v/>
      </c>
      <c r="AH128" s="34" t="str">
        <f t="shared" si="69"/>
        <v/>
      </c>
      <c r="AI128" s="34" t="str">
        <f t="shared" si="69"/>
        <v/>
      </c>
      <c r="AJ128" s="34" t="str">
        <f t="shared" si="69"/>
        <v/>
      </c>
      <c r="AK128" s="34" t="str">
        <f t="shared" si="69"/>
        <v/>
      </c>
      <c r="AL128" s="34" t="str">
        <f t="shared" si="69"/>
        <v/>
      </c>
      <c r="AM128" s="34" t="str">
        <f t="shared" si="79"/>
        <v/>
      </c>
      <c r="AN128" s="34" t="str">
        <f t="shared" si="79"/>
        <v/>
      </c>
      <c r="AO128" s="34" t="str">
        <f t="shared" si="75"/>
        <v/>
      </c>
      <c r="AP128" s="34" t="str">
        <f t="shared" si="75"/>
        <v/>
      </c>
      <c r="AQ128" s="34" t="str">
        <f t="shared" si="75"/>
        <v/>
      </c>
      <c r="AR128" s="34" t="str">
        <f t="shared" si="75"/>
        <v/>
      </c>
      <c r="AS128" s="34" t="str">
        <f t="shared" si="75"/>
        <v/>
      </c>
      <c r="AT128" s="34" t="str">
        <f t="shared" si="80"/>
        <v/>
      </c>
      <c r="AU128" s="34" t="str">
        <f t="shared" si="80"/>
        <v/>
      </c>
      <c r="AV128" s="34" t="str">
        <f t="shared" si="76"/>
        <v/>
      </c>
      <c r="AW128" s="34" t="str">
        <f t="shared" si="76"/>
        <v/>
      </c>
      <c r="AX128" s="34" t="str">
        <f t="shared" si="76"/>
        <v/>
      </c>
      <c r="AY128" s="34" t="str">
        <f t="shared" si="76"/>
        <v/>
      </c>
      <c r="AZ128" s="34" t="str">
        <f t="shared" si="76"/>
        <v/>
      </c>
      <c r="BA128" s="34" t="str">
        <f t="shared" si="81"/>
        <v/>
      </c>
      <c r="BB128" s="34" t="str">
        <f t="shared" si="81"/>
        <v/>
      </c>
      <c r="BC128" s="34" t="str">
        <f t="shared" si="72"/>
        <v/>
      </c>
      <c r="BD128" s="34" t="str">
        <f t="shared" si="72"/>
        <v/>
      </c>
      <c r="BE128" s="34" t="str">
        <f t="shared" si="72"/>
        <v/>
      </c>
      <c r="BF128" s="34" t="str">
        <f t="shared" si="72"/>
        <v/>
      </c>
      <c r="BG128" s="34" t="str">
        <f t="shared" si="72"/>
        <v/>
      </c>
      <c r="BH128" s="34" t="str">
        <f t="shared" si="81"/>
        <v/>
      </c>
      <c r="BI128" s="34" t="str">
        <f t="shared" si="81"/>
        <v/>
      </c>
      <c r="BJ128" s="34" t="str">
        <f t="shared" si="81"/>
        <v/>
      </c>
      <c r="BK128" s="34" t="str">
        <f t="shared" si="82"/>
        <v/>
      </c>
      <c r="BL128" s="34" t="str">
        <f t="shared" si="82"/>
        <v/>
      </c>
      <c r="BM128" s="34" t="str">
        <f t="shared" si="82"/>
        <v/>
      </c>
      <c r="BN128" s="34" t="str">
        <f t="shared" si="82"/>
        <v/>
      </c>
      <c r="BO128" s="34" t="str">
        <f t="shared" si="82"/>
        <v/>
      </c>
      <c r="BP128" s="34" t="str">
        <f t="shared" si="82"/>
        <v/>
      </c>
    </row>
    <row r="129" spans="2:68" outlineLevel="2" x14ac:dyDescent="0.25">
      <c r="B129" s="32">
        <f t="shared" si="58"/>
        <v>120</v>
      </c>
      <c r="C129" s="33" t="s">
        <v>5</v>
      </c>
      <c r="D129" s="34" t="s">
        <v>44</v>
      </c>
      <c r="E129" s="34"/>
      <c r="F129" s="40"/>
      <c r="G129" s="33">
        <v>2</v>
      </c>
      <c r="H129" s="35">
        <f t="shared" si="73"/>
        <v>46387</v>
      </c>
      <c r="I129" s="35" cm="1">
        <f t="array" ref="I129">IF(G129&lt;&gt;"",WORKDAY(Start,Duration-1),IF(Type="M",WORKDAY(Start,Duration-1),""))</f>
        <v>46388</v>
      </c>
      <c r="J129" s="43"/>
      <c r="K129" s="47" t="s">
        <v>100</v>
      </c>
      <c r="L129" s="34"/>
      <c r="M129" s="36" t="str">
        <f t="shared" si="66"/>
        <v/>
      </c>
      <c r="N129" s="34" t="str">
        <f t="shared" si="66"/>
        <v/>
      </c>
      <c r="O129" s="34" t="str">
        <f t="shared" si="66"/>
        <v/>
      </c>
      <c r="P129" s="34" t="str">
        <f t="shared" si="66"/>
        <v/>
      </c>
      <c r="Q129" s="34" t="str">
        <f t="shared" si="66"/>
        <v/>
      </c>
      <c r="R129" s="34" t="str">
        <f t="shared" si="77"/>
        <v/>
      </c>
      <c r="S129" s="34" t="str">
        <f t="shared" si="77"/>
        <v/>
      </c>
      <c r="T129" s="34" t="str">
        <f t="shared" si="74"/>
        <v/>
      </c>
      <c r="U129" s="34" t="str">
        <f t="shared" si="74"/>
        <v/>
      </c>
      <c r="V129" s="34" t="str">
        <f t="shared" si="74"/>
        <v/>
      </c>
      <c r="W129" s="34" t="str">
        <f t="shared" si="74"/>
        <v/>
      </c>
      <c r="X129" s="34" t="str">
        <f t="shared" si="74"/>
        <v/>
      </c>
      <c r="Y129" s="34" t="str">
        <f t="shared" si="78"/>
        <v/>
      </c>
      <c r="Z129" s="34" t="str">
        <f t="shared" si="78"/>
        <v/>
      </c>
      <c r="AA129" s="34" t="str">
        <f t="shared" si="78"/>
        <v/>
      </c>
      <c r="AB129" s="34" t="str">
        <f t="shared" si="78"/>
        <v/>
      </c>
      <c r="AC129" s="34" t="str">
        <f t="shared" si="78"/>
        <v/>
      </c>
      <c r="AD129" s="34" t="str">
        <f t="shared" si="78"/>
        <v/>
      </c>
      <c r="AE129" s="34" t="str">
        <f t="shared" si="78"/>
        <v/>
      </c>
      <c r="AF129" s="34" t="str">
        <f t="shared" si="78"/>
        <v/>
      </c>
      <c r="AG129" s="34" t="str">
        <f t="shared" si="79"/>
        <v/>
      </c>
      <c r="AH129" s="34" t="str">
        <f t="shared" si="69"/>
        <v/>
      </c>
      <c r="AI129" s="34" t="str">
        <f t="shared" si="69"/>
        <v/>
      </c>
      <c r="AJ129" s="34" t="str">
        <f t="shared" si="69"/>
        <v/>
      </c>
      <c r="AK129" s="34" t="str">
        <f t="shared" si="69"/>
        <v/>
      </c>
      <c r="AL129" s="34" t="str">
        <f t="shared" si="69"/>
        <v/>
      </c>
      <c r="AM129" s="34" t="str">
        <f t="shared" si="79"/>
        <v/>
      </c>
      <c r="AN129" s="34" t="str">
        <f t="shared" si="79"/>
        <v/>
      </c>
      <c r="AO129" s="34" t="str">
        <f t="shared" si="75"/>
        <v/>
      </c>
      <c r="AP129" s="34" t="str">
        <f t="shared" si="75"/>
        <v/>
      </c>
      <c r="AQ129" s="34" t="str">
        <f t="shared" si="75"/>
        <v/>
      </c>
      <c r="AR129" s="34" t="str">
        <f t="shared" si="75"/>
        <v/>
      </c>
      <c r="AS129" s="34" t="str">
        <f t="shared" si="75"/>
        <v/>
      </c>
      <c r="AT129" s="34" t="str">
        <f t="shared" si="80"/>
        <v/>
      </c>
      <c r="AU129" s="34" t="str">
        <f t="shared" si="80"/>
        <v/>
      </c>
      <c r="AV129" s="34" t="str">
        <f t="shared" si="76"/>
        <v/>
      </c>
      <c r="AW129" s="34" t="str">
        <f t="shared" si="76"/>
        <v/>
      </c>
      <c r="AX129" s="34" t="str">
        <f t="shared" si="76"/>
        <v/>
      </c>
      <c r="AY129" s="34" t="str">
        <f t="shared" si="76"/>
        <v/>
      </c>
      <c r="AZ129" s="34" t="str">
        <f t="shared" si="76"/>
        <v/>
      </c>
      <c r="BA129" s="34" t="str">
        <f t="shared" si="81"/>
        <v/>
      </c>
      <c r="BB129" s="34" t="str">
        <f t="shared" si="81"/>
        <v/>
      </c>
      <c r="BC129" s="34" t="str">
        <f t="shared" si="72"/>
        <v/>
      </c>
      <c r="BD129" s="34" t="str">
        <f t="shared" si="72"/>
        <v/>
      </c>
      <c r="BE129" s="34" t="str">
        <f t="shared" si="72"/>
        <v/>
      </c>
      <c r="BF129" s="34" t="str">
        <f t="shared" si="72"/>
        <v/>
      </c>
      <c r="BG129" s="34" t="str">
        <f t="shared" si="72"/>
        <v/>
      </c>
      <c r="BH129" s="34" t="str">
        <f t="shared" si="81"/>
        <v/>
      </c>
      <c r="BI129" s="34" t="str">
        <f t="shared" si="81"/>
        <v/>
      </c>
      <c r="BJ129" s="34" t="str">
        <f t="shared" si="81"/>
        <v/>
      </c>
      <c r="BK129" s="34" t="str">
        <f t="shared" si="82"/>
        <v/>
      </c>
      <c r="BL129" s="34" t="str">
        <f t="shared" si="82"/>
        <v/>
      </c>
      <c r="BM129" s="34" t="str">
        <f t="shared" si="82"/>
        <v/>
      </c>
      <c r="BN129" s="34" t="str">
        <f t="shared" si="82"/>
        <v/>
      </c>
      <c r="BO129" s="34" t="str">
        <f t="shared" si="82"/>
        <v/>
      </c>
      <c r="BP129" s="34" t="str">
        <f t="shared" si="82"/>
        <v/>
      </c>
    </row>
    <row r="130" spans="2:68" outlineLevel="2" x14ac:dyDescent="0.25">
      <c r="B130" s="32">
        <f t="shared" si="58"/>
        <v>121</v>
      </c>
      <c r="C130" s="33" t="s">
        <v>5</v>
      </c>
      <c r="D130" s="34" t="s">
        <v>45</v>
      </c>
      <c r="E130" s="34"/>
      <c r="F130" s="40"/>
      <c r="G130" s="33">
        <v>2</v>
      </c>
      <c r="H130" s="35">
        <f t="shared" si="73"/>
        <v>46391</v>
      </c>
      <c r="I130" s="35" cm="1">
        <f t="array" ref="I130">IF(G130&lt;&gt;"",WORKDAY(Start,Duration-1),IF(Type="M",WORKDAY(Start,Duration-1),""))</f>
        <v>46392</v>
      </c>
      <c r="J130" s="43"/>
      <c r="K130" s="47" t="s">
        <v>100</v>
      </c>
      <c r="L130" s="34" t="s">
        <v>72</v>
      </c>
      <c r="M130" s="36" t="str">
        <f t="shared" si="66"/>
        <v/>
      </c>
      <c r="N130" s="34" t="str">
        <f t="shared" si="66"/>
        <v/>
      </c>
      <c r="O130" s="34" t="str">
        <f t="shared" si="66"/>
        <v/>
      </c>
      <c r="P130" s="34" t="str">
        <f t="shared" si="66"/>
        <v/>
      </c>
      <c r="Q130" s="34" t="str">
        <f t="shared" si="66"/>
        <v/>
      </c>
      <c r="R130" s="34" t="str">
        <f t="shared" si="77"/>
        <v/>
      </c>
      <c r="S130" s="34" t="str">
        <f t="shared" si="77"/>
        <v/>
      </c>
      <c r="T130" s="34" t="str">
        <f t="shared" si="74"/>
        <v/>
      </c>
      <c r="U130" s="34" t="str">
        <f t="shared" si="74"/>
        <v/>
      </c>
      <c r="V130" s="34" t="str">
        <f t="shared" si="74"/>
        <v/>
      </c>
      <c r="W130" s="34" t="str">
        <f t="shared" si="74"/>
        <v/>
      </c>
      <c r="X130" s="34" t="str">
        <f t="shared" si="74"/>
        <v/>
      </c>
      <c r="Y130" s="34" t="str">
        <f t="shared" si="78"/>
        <v/>
      </c>
      <c r="Z130" s="34" t="str">
        <f t="shared" si="78"/>
        <v/>
      </c>
      <c r="AA130" s="34" t="str">
        <f t="shared" si="78"/>
        <v/>
      </c>
      <c r="AB130" s="34" t="str">
        <f t="shared" si="78"/>
        <v/>
      </c>
      <c r="AC130" s="34" t="str">
        <f t="shared" si="78"/>
        <v/>
      </c>
      <c r="AD130" s="34" t="str">
        <f t="shared" si="78"/>
        <v/>
      </c>
      <c r="AE130" s="34" t="str">
        <f t="shared" si="78"/>
        <v/>
      </c>
      <c r="AF130" s="34" t="str">
        <f t="shared" si="78"/>
        <v/>
      </c>
      <c r="AG130" s="34" t="str">
        <f t="shared" si="79"/>
        <v/>
      </c>
      <c r="AH130" s="34" t="str">
        <f t="shared" si="69"/>
        <v/>
      </c>
      <c r="AI130" s="34" t="str">
        <f t="shared" si="69"/>
        <v/>
      </c>
      <c r="AJ130" s="34" t="str">
        <f t="shared" si="69"/>
        <v/>
      </c>
      <c r="AK130" s="34" t="str">
        <f t="shared" si="69"/>
        <v/>
      </c>
      <c r="AL130" s="34" t="str">
        <f t="shared" si="69"/>
        <v/>
      </c>
      <c r="AM130" s="34" t="str">
        <f t="shared" si="79"/>
        <v/>
      </c>
      <c r="AN130" s="34" t="str">
        <f t="shared" si="79"/>
        <v/>
      </c>
      <c r="AO130" s="34" t="str">
        <f t="shared" si="75"/>
        <v/>
      </c>
      <c r="AP130" s="34" t="str">
        <f t="shared" si="75"/>
        <v/>
      </c>
      <c r="AQ130" s="34" t="str">
        <f t="shared" si="75"/>
        <v/>
      </c>
      <c r="AR130" s="34" t="str">
        <f t="shared" si="75"/>
        <v/>
      </c>
      <c r="AS130" s="34" t="str">
        <f t="shared" si="75"/>
        <v/>
      </c>
      <c r="AT130" s="34" t="str">
        <f t="shared" si="80"/>
        <v/>
      </c>
      <c r="AU130" s="34" t="str">
        <f t="shared" si="80"/>
        <v/>
      </c>
      <c r="AV130" s="34" t="str">
        <f t="shared" si="76"/>
        <v/>
      </c>
      <c r="AW130" s="34" t="str">
        <f t="shared" si="76"/>
        <v/>
      </c>
      <c r="AX130" s="34" t="str">
        <f t="shared" si="76"/>
        <v/>
      </c>
      <c r="AY130" s="34" t="str">
        <f t="shared" si="76"/>
        <v/>
      </c>
      <c r="AZ130" s="34" t="str">
        <f t="shared" si="76"/>
        <v/>
      </c>
      <c r="BA130" s="34" t="str">
        <f t="shared" si="81"/>
        <v/>
      </c>
      <c r="BB130" s="34" t="str">
        <f t="shared" si="81"/>
        <v/>
      </c>
      <c r="BC130" s="34" t="str">
        <f t="shared" si="72"/>
        <v/>
      </c>
      <c r="BD130" s="34" t="str">
        <f t="shared" si="72"/>
        <v/>
      </c>
      <c r="BE130" s="34" t="str">
        <f t="shared" si="72"/>
        <v/>
      </c>
      <c r="BF130" s="34" t="str">
        <f t="shared" si="72"/>
        <v/>
      </c>
      <c r="BG130" s="34" t="str">
        <f t="shared" si="72"/>
        <v/>
      </c>
      <c r="BH130" s="34" t="str">
        <f t="shared" si="81"/>
        <v/>
      </c>
      <c r="BI130" s="34" t="str">
        <f t="shared" si="81"/>
        <v/>
      </c>
      <c r="BJ130" s="34" t="str">
        <f t="shared" si="81"/>
        <v/>
      </c>
      <c r="BK130" s="34" t="str">
        <f t="shared" si="82"/>
        <v/>
      </c>
      <c r="BL130" s="34" t="str">
        <f t="shared" si="82"/>
        <v/>
      </c>
      <c r="BM130" s="34" t="str">
        <f t="shared" si="82"/>
        <v/>
      </c>
      <c r="BN130" s="34" t="str">
        <f t="shared" si="82"/>
        <v/>
      </c>
      <c r="BO130" s="34" t="str">
        <f t="shared" si="82"/>
        <v/>
      </c>
      <c r="BP130" s="34" t="str">
        <f t="shared" si="82"/>
        <v/>
      </c>
    </row>
    <row r="131" spans="2:68" outlineLevel="2" x14ac:dyDescent="0.25">
      <c r="B131" s="32">
        <f t="shared" si="58"/>
        <v>122</v>
      </c>
      <c r="C131" s="33" t="s">
        <v>5</v>
      </c>
      <c r="D131" s="34" t="s">
        <v>46</v>
      </c>
      <c r="E131" s="34"/>
      <c r="F131" s="40"/>
      <c r="G131" s="33">
        <v>5</v>
      </c>
      <c r="H131" s="35">
        <f t="shared" si="73"/>
        <v>46393</v>
      </c>
      <c r="I131" s="35" cm="1">
        <f t="array" ref="I131">IF(G131&lt;&gt;"",WORKDAY(Start,Duration-1),IF(Type="M",WORKDAY(Start,Duration-1),""))</f>
        <v>46399</v>
      </c>
      <c r="J131" s="43"/>
      <c r="K131" s="47" t="s">
        <v>100</v>
      </c>
      <c r="L131" s="34"/>
      <c r="M131" s="36" t="str">
        <f t="shared" si="66"/>
        <v/>
      </c>
      <c r="N131" s="34" t="str">
        <f t="shared" si="66"/>
        <v/>
      </c>
      <c r="O131" s="34" t="str">
        <f t="shared" si="66"/>
        <v/>
      </c>
      <c r="P131" s="34" t="str">
        <f t="shared" si="66"/>
        <v/>
      </c>
      <c r="Q131" s="34" t="str">
        <f t="shared" si="66"/>
        <v/>
      </c>
      <c r="R131" s="34" t="str">
        <f t="shared" ref="R131:S146" si="83">IF(AND(Type="M",Start=Date),"◆","")</f>
        <v/>
      </c>
      <c r="S131" s="34" t="str">
        <f t="shared" si="83"/>
        <v/>
      </c>
      <c r="T131" s="34" t="str">
        <f t="shared" si="74"/>
        <v/>
      </c>
      <c r="U131" s="34" t="str">
        <f t="shared" si="74"/>
        <v/>
      </c>
      <c r="V131" s="34" t="str">
        <f t="shared" si="74"/>
        <v/>
      </c>
      <c r="W131" s="34" t="str">
        <f t="shared" si="74"/>
        <v/>
      </c>
      <c r="X131" s="34" t="str">
        <f t="shared" si="74"/>
        <v/>
      </c>
      <c r="Y131" s="34" t="str">
        <f t="shared" ref="Y131:AF146" si="84">IF(AND(Type="M",Start=Date),"◆","")</f>
        <v/>
      </c>
      <c r="Z131" s="34" t="str">
        <f t="shared" si="84"/>
        <v/>
      </c>
      <c r="AA131" s="34" t="str">
        <f t="shared" si="78"/>
        <v/>
      </c>
      <c r="AB131" s="34" t="str">
        <f t="shared" si="78"/>
        <v/>
      </c>
      <c r="AC131" s="34" t="str">
        <f t="shared" si="78"/>
        <v/>
      </c>
      <c r="AD131" s="34" t="str">
        <f t="shared" si="78"/>
        <v/>
      </c>
      <c r="AE131" s="34" t="str">
        <f t="shared" si="78"/>
        <v/>
      </c>
      <c r="AF131" s="34" t="str">
        <f t="shared" si="84"/>
        <v/>
      </c>
      <c r="AG131" s="34" t="str">
        <f t="shared" ref="AG131:AN146" si="85">IF(AND(Type="M",Start=Date),"◆","")</f>
        <v/>
      </c>
      <c r="AH131" s="34" t="str">
        <f t="shared" si="69"/>
        <v/>
      </c>
      <c r="AI131" s="34" t="str">
        <f t="shared" si="69"/>
        <v/>
      </c>
      <c r="AJ131" s="34" t="str">
        <f t="shared" si="69"/>
        <v/>
      </c>
      <c r="AK131" s="34" t="str">
        <f t="shared" si="69"/>
        <v/>
      </c>
      <c r="AL131" s="34" t="str">
        <f t="shared" si="69"/>
        <v/>
      </c>
      <c r="AM131" s="34" t="str">
        <f t="shared" si="85"/>
        <v/>
      </c>
      <c r="AN131" s="34" t="str">
        <f t="shared" si="85"/>
        <v/>
      </c>
      <c r="AO131" s="34" t="str">
        <f t="shared" si="75"/>
        <v/>
      </c>
      <c r="AP131" s="34" t="str">
        <f t="shared" si="75"/>
        <v/>
      </c>
      <c r="AQ131" s="34" t="str">
        <f t="shared" si="75"/>
        <v/>
      </c>
      <c r="AR131" s="34" t="str">
        <f t="shared" si="75"/>
        <v/>
      </c>
      <c r="AS131" s="34" t="str">
        <f t="shared" si="75"/>
        <v/>
      </c>
      <c r="AT131" s="34" t="str">
        <f t="shared" ref="AT131:AU146" si="86">IF(AND(Type="M",Start=Date),"◆","")</f>
        <v/>
      </c>
      <c r="AU131" s="34" t="str">
        <f t="shared" si="86"/>
        <v/>
      </c>
      <c r="AV131" s="34" t="str">
        <f t="shared" si="76"/>
        <v/>
      </c>
      <c r="AW131" s="34" t="str">
        <f t="shared" si="76"/>
        <v/>
      </c>
      <c r="AX131" s="34" t="str">
        <f t="shared" si="76"/>
        <v/>
      </c>
      <c r="AY131" s="34" t="str">
        <f t="shared" si="76"/>
        <v/>
      </c>
      <c r="AZ131" s="34" t="str">
        <f t="shared" si="76"/>
        <v/>
      </c>
      <c r="BA131" s="34" t="str">
        <f t="shared" ref="BA131:BJ146" si="87">IF(AND(Type="M",Start=Date),"◆","")</f>
        <v/>
      </c>
      <c r="BB131" s="34" t="str">
        <f t="shared" si="87"/>
        <v/>
      </c>
      <c r="BC131" s="34" t="str">
        <f t="shared" si="72"/>
        <v/>
      </c>
      <c r="BD131" s="34" t="str">
        <f t="shared" si="72"/>
        <v/>
      </c>
      <c r="BE131" s="34" t="str">
        <f t="shared" si="72"/>
        <v/>
      </c>
      <c r="BF131" s="34" t="str">
        <f t="shared" si="72"/>
        <v/>
      </c>
      <c r="BG131" s="34" t="str">
        <f t="shared" si="72"/>
        <v/>
      </c>
      <c r="BH131" s="34" t="str">
        <f t="shared" si="87"/>
        <v/>
      </c>
      <c r="BI131" s="34" t="str">
        <f t="shared" si="87"/>
        <v/>
      </c>
      <c r="BJ131" s="34" t="str">
        <f t="shared" si="87"/>
        <v/>
      </c>
      <c r="BK131" s="34" t="str">
        <f t="shared" ref="BK131:BP146" si="88">IF(AND(Type="M",Start=Date),"◆","")</f>
        <v/>
      </c>
      <c r="BL131" s="34" t="str">
        <f t="shared" si="88"/>
        <v/>
      </c>
      <c r="BM131" s="34" t="str">
        <f t="shared" si="88"/>
        <v/>
      </c>
      <c r="BN131" s="34" t="str">
        <f t="shared" si="88"/>
        <v/>
      </c>
      <c r="BO131" s="34" t="str">
        <f t="shared" si="88"/>
        <v/>
      </c>
      <c r="BP131" s="34" t="str">
        <f t="shared" si="88"/>
        <v/>
      </c>
    </row>
    <row r="132" spans="2:68" outlineLevel="2" x14ac:dyDescent="0.25">
      <c r="B132" s="32">
        <f t="shared" si="58"/>
        <v>123</v>
      </c>
      <c r="C132" s="33" t="s">
        <v>5</v>
      </c>
      <c r="D132" s="34" t="s">
        <v>47</v>
      </c>
      <c r="E132" s="34"/>
      <c r="F132" s="40"/>
      <c r="G132" s="33">
        <v>5</v>
      </c>
      <c r="H132" s="35">
        <f t="shared" si="73"/>
        <v>46400</v>
      </c>
      <c r="I132" s="35" cm="1">
        <f t="array" ref="I132">IF(G132&lt;&gt;"",WORKDAY(Start,Duration-1),IF(Type="M",WORKDAY(Start,Duration-1),""))</f>
        <v>46406</v>
      </c>
      <c r="J132" s="43"/>
      <c r="K132" s="47" t="s">
        <v>424</v>
      </c>
      <c r="L132" s="34"/>
      <c r="M132" s="36" t="str">
        <f t="shared" si="66"/>
        <v/>
      </c>
      <c r="N132" s="34" t="str">
        <f t="shared" si="66"/>
        <v/>
      </c>
      <c r="O132" s="34" t="str">
        <f t="shared" si="66"/>
        <v/>
      </c>
      <c r="P132" s="34" t="str">
        <f t="shared" si="66"/>
        <v/>
      </c>
      <c r="Q132" s="34" t="str">
        <f t="shared" si="66"/>
        <v/>
      </c>
      <c r="R132" s="34" t="str">
        <f t="shared" si="83"/>
        <v/>
      </c>
      <c r="S132" s="34" t="str">
        <f t="shared" si="83"/>
        <v/>
      </c>
      <c r="T132" s="34" t="str">
        <f t="shared" si="74"/>
        <v/>
      </c>
      <c r="U132" s="34" t="str">
        <f t="shared" si="74"/>
        <v/>
      </c>
      <c r="V132" s="34" t="str">
        <f t="shared" si="74"/>
        <v/>
      </c>
      <c r="W132" s="34" t="str">
        <f t="shared" si="74"/>
        <v/>
      </c>
      <c r="X132" s="34" t="str">
        <f t="shared" si="74"/>
        <v/>
      </c>
      <c r="Y132" s="34" t="str">
        <f t="shared" si="84"/>
        <v/>
      </c>
      <c r="Z132" s="34" t="str">
        <f t="shared" si="84"/>
        <v/>
      </c>
      <c r="AA132" s="34" t="str">
        <f t="shared" si="78"/>
        <v/>
      </c>
      <c r="AB132" s="34" t="str">
        <f t="shared" si="78"/>
        <v/>
      </c>
      <c r="AC132" s="34" t="str">
        <f t="shared" si="78"/>
        <v/>
      </c>
      <c r="AD132" s="34" t="str">
        <f t="shared" si="78"/>
        <v/>
      </c>
      <c r="AE132" s="34" t="str">
        <f t="shared" si="78"/>
        <v/>
      </c>
      <c r="AF132" s="34" t="str">
        <f t="shared" si="84"/>
        <v/>
      </c>
      <c r="AG132" s="34" t="str">
        <f t="shared" si="85"/>
        <v/>
      </c>
      <c r="AH132" s="34" t="str">
        <f t="shared" si="69"/>
        <v/>
      </c>
      <c r="AI132" s="34" t="str">
        <f t="shared" si="69"/>
        <v/>
      </c>
      <c r="AJ132" s="34" t="str">
        <f t="shared" si="69"/>
        <v/>
      </c>
      <c r="AK132" s="34" t="str">
        <f t="shared" si="69"/>
        <v/>
      </c>
      <c r="AL132" s="34" t="str">
        <f t="shared" si="69"/>
        <v/>
      </c>
      <c r="AM132" s="34" t="str">
        <f t="shared" si="85"/>
        <v/>
      </c>
      <c r="AN132" s="34" t="str">
        <f t="shared" si="85"/>
        <v/>
      </c>
      <c r="AO132" s="34" t="str">
        <f t="shared" si="75"/>
        <v/>
      </c>
      <c r="AP132" s="34" t="str">
        <f t="shared" si="75"/>
        <v/>
      </c>
      <c r="AQ132" s="34" t="str">
        <f t="shared" si="75"/>
        <v/>
      </c>
      <c r="AR132" s="34" t="str">
        <f t="shared" si="75"/>
        <v/>
      </c>
      <c r="AS132" s="34" t="str">
        <f t="shared" si="75"/>
        <v/>
      </c>
      <c r="AT132" s="34" t="str">
        <f t="shared" si="86"/>
        <v/>
      </c>
      <c r="AU132" s="34" t="str">
        <f t="shared" si="86"/>
        <v/>
      </c>
      <c r="AV132" s="34" t="str">
        <f t="shared" si="76"/>
        <v/>
      </c>
      <c r="AW132" s="34" t="str">
        <f t="shared" si="76"/>
        <v/>
      </c>
      <c r="AX132" s="34" t="str">
        <f t="shared" si="76"/>
        <v/>
      </c>
      <c r="AY132" s="34" t="str">
        <f t="shared" si="76"/>
        <v/>
      </c>
      <c r="AZ132" s="34" t="str">
        <f t="shared" si="76"/>
        <v/>
      </c>
      <c r="BA132" s="34" t="str">
        <f t="shared" si="87"/>
        <v/>
      </c>
      <c r="BB132" s="34" t="str">
        <f t="shared" si="87"/>
        <v/>
      </c>
      <c r="BC132" s="34" t="str">
        <f t="shared" si="72"/>
        <v/>
      </c>
      <c r="BD132" s="34" t="str">
        <f t="shared" si="72"/>
        <v/>
      </c>
      <c r="BE132" s="34" t="str">
        <f t="shared" si="72"/>
        <v/>
      </c>
      <c r="BF132" s="34" t="str">
        <f t="shared" si="72"/>
        <v/>
      </c>
      <c r="BG132" s="34" t="str">
        <f t="shared" si="72"/>
        <v/>
      </c>
      <c r="BH132" s="34" t="str">
        <f t="shared" si="87"/>
        <v/>
      </c>
      <c r="BI132" s="34" t="str">
        <f t="shared" si="87"/>
        <v/>
      </c>
      <c r="BJ132" s="34" t="str">
        <f t="shared" si="87"/>
        <v/>
      </c>
      <c r="BK132" s="34" t="str">
        <f t="shared" si="88"/>
        <v/>
      </c>
      <c r="BL132" s="34" t="str">
        <f t="shared" si="88"/>
        <v/>
      </c>
      <c r="BM132" s="34" t="str">
        <f t="shared" si="88"/>
        <v/>
      </c>
      <c r="BN132" s="34" t="str">
        <f t="shared" si="88"/>
        <v/>
      </c>
      <c r="BO132" s="34" t="str">
        <f t="shared" si="88"/>
        <v/>
      </c>
      <c r="BP132" s="34" t="str">
        <f t="shared" si="88"/>
        <v/>
      </c>
    </row>
    <row r="133" spans="2:68" outlineLevel="2" x14ac:dyDescent="0.25">
      <c r="B133" s="32">
        <f t="shared" si="58"/>
        <v>124</v>
      </c>
      <c r="C133" s="33" t="s">
        <v>5</v>
      </c>
      <c r="D133" s="34" t="s">
        <v>48</v>
      </c>
      <c r="E133" s="34"/>
      <c r="F133" s="40"/>
      <c r="G133" s="33">
        <v>3</v>
      </c>
      <c r="H133" s="35">
        <f t="shared" si="73"/>
        <v>46407</v>
      </c>
      <c r="I133" s="35" cm="1">
        <f t="array" ref="I133">IF(G133&lt;&gt;"",WORKDAY(Start,Duration-1),IF(Type="M",WORKDAY(Start,Duration-1),""))</f>
        <v>46409</v>
      </c>
      <c r="J133" s="43"/>
      <c r="K133" s="47" t="s">
        <v>100</v>
      </c>
      <c r="L133" s="34" t="s">
        <v>71</v>
      </c>
      <c r="M133" s="36" t="str">
        <f t="shared" si="66"/>
        <v/>
      </c>
      <c r="N133" s="34" t="str">
        <f t="shared" si="66"/>
        <v/>
      </c>
      <c r="O133" s="34" t="str">
        <f t="shared" si="66"/>
        <v/>
      </c>
      <c r="P133" s="34" t="str">
        <f t="shared" si="66"/>
        <v/>
      </c>
      <c r="Q133" s="34" t="str">
        <f t="shared" si="66"/>
        <v/>
      </c>
      <c r="R133" s="34" t="str">
        <f t="shared" si="83"/>
        <v/>
      </c>
      <c r="S133" s="34" t="str">
        <f t="shared" si="83"/>
        <v/>
      </c>
      <c r="T133" s="34" t="str">
        <f t="shared" si="74"/>
        <v/>
      </c>
      <c r="U133" s="34" t="str">
        <f t="shared" si="74"/>
        <v/>
      </c>
      <c r="V133" s="34" t="str">
        <f t="shared" si="74"/>
        <v/>
      </c>
      <c r="W133" s="34" t="str">
        <f t="shared" si="74"/>
        <v/>
      </c>
      <c r="X133" s="34" t="str">
        <f t="shared" si="74"/>
        <v/>
      </c>
      <c r="Y133" s="34" t="str">
        <f t="shared" si="84"/>
        <v/>
      </c>
      <c r="Z133" s="34" t="str">
        <f t="shared" si="84"/>
        <v/>
      </c>
      <c r="AA133" s="34" t="str">
        <f t="shared" si="78"/>
        <v/>
      </c>
      <c r="AB133" s="34" t="str">
        <f t="shared" si="78"/>
        <v/>
      </c>
      <c r="AC133" s="34" t="str">
        <f t="shared" si="78"/>
        <v/>
      </c>
      <c r="AD133" s="34" t="str">
        <f t="shared" si="78"/>
        <v/>
      </c>
      <c r="AE133" s="34" t="str">
        <f t="shared" si="78"/>
        <v/>
      </c>
      <c r="AF133" s="34" t="str">
        <f t="shared" si="84"/>
        <v/>
      </c>
      <c r="AG133" s="34" t="str">
        <f t="shared" si="85"/>
        <v/>
      </c>
      <c r="AH133" s="34" t="str">
        <f t="shared" si="69"/>
        <v/>
      </c>
      <c r="AI133" s="34" t="str">
        <f t="shared" si="69"/>
        <v/>
      </c>
      <c r="AJ133" s="34" t="str">
        <f t="shared" si="69"/>
        <v/>
      </c>
      <c r="AK133" s="34" t="str">
        <f t="shared" si="69"/>
        <v/>
      </c>
      <c r="AL133" s="34" t="str">
        <f t="shared" si="69"/>
        <v/>
      </c>
      <c r="AM133" s="34" t="str">
        <f t="shared" si="85"/>
        <v/>
      </c>
      <c r="AN133" s="34" t="str">
        <f t="shared" si="85"/>
        <v/>
      </c>
      <c r="AO133" s="34" t="str">
        <f t="shared" si="75"/>
        <v/>
      </c>
      <c r="AP133" s="34" t="str">
        <f t="shared" si="75"/>
        <v/>
      </c>
      <c r="AQ133" s="34" t="str">
        <f t="shared" si="75"/>
        <v/>
      </c>
      <c r="AR133" s="34" t="str">
        <f t="shared" si="75"/>
        <v/>
      </c>
      <c r="AS133" s="34" t="str">
        <f t="shared" si="75"/>
        <v/>
      </c>
      <c r="AT133" s="34" t="str">
        <f t="shared" si="86"/>
        <v/>
      </c>
      <c r="AU133" s="34" t="str">
        <f t="shared" si="86"/>
        <v/>
      </c>
      <c r="AV133" s="34" t="str">
        <f t="shared" si="76"/>
        <v/>
      </c>
      <c r="AW133" s="34" t="str">
        <f t="shared" si="76"/>
        <v/>
      </c>
      <c r="AX133" s="34" t="str">
        <f t="shared" si="76"/>
        <v/>
      </c>
      <c r="AY133" s="34" t="str">
        <f t="shared" si="76"/>
        <v/>
      </c>
      <c r="AZ133" s="34" t="str">
        <f t="shared" si="76"/>
        <v/>
      </c>
      <c r="BA133" s="34" t="str">
        <f t="shared" si="87"/>
        <v/>
      </c>
      <c r="BB133" s="34" t="str">
        <f t="shared" si="87"/>
        <v/>
      </c>
      <c r="BC133" s="34" t="str">
        <f t="shared" si="72"/>
        <v/>
      </c>
      <c r="BD133" s="34" t="str">
        <f t="shared" si="72"/>
        <v/>
      </c>
      <c r="BE133" s="34" t="str">
        <f t="shared" si="72"/>
        <v/>
      </c>
      <c r="BF133" s="34" t="str">
        <f t="shared" si="72"/>
        <v/>
      </c>
      <c r="BG133" s="34" t="str">
        <f t="shared" si="72"/>
        <v/>
      </c>
      <c r="BH133" s="34" t="str">
        <f t="shared" si="87"/>
        <v/>
      </c>
      <c r="BI133" s="34" t="str">
        <f t="shared" si="87"/>
        <v/>
      </c>
      <c r="BJ133" s="34" t="str">
        <f t="shared" si="87"/>
        <v/>
      </c>
      <c r="BK133" s="34" t="str">
        <f t="shared" si="88"/>
        <v/>
      </c>
      <c r="BL133" s="34" t="str">
        <f t="shared" si="88"/>
        <v/>
      </c>
      <c r="BM133" s="34" t="str">
        <f t="shared" si="88"/>
        <v/>
      </c>
      <c r="BN133" s="34" t="str">
        <f t="shared" si="88"/>
        <v/>
      </c>
      <c r="BO133" s="34" t="str">
        <f t="shared" si="88"/>
        <v/>
      </c>
      <c r="BP133" s="34" t="str">
        <f t="shared" si="88"/>
        <v/>
      </c>
    </row>
    <row r="134" spans="2:68" outlineLevel="1" x14ac:dyDescent="0.25">
      <c r="B134" s="32">
        <f t="shared" si="58"/>
        <v>125</v>
      </c>
      <c r="C134" s="33" t="s">
        <v>1</v>
      </c>
      <c r="D134" s="37" t="s">
        <v>35</v>
      </c>
      <c r="E134" s="37"/>
      <c r="F134" s="41"/>
      <c r="G134" s="33">
        <f>SUM(G135:G138)</f>
        <v>8</v>
      </c>
      <c r="H134" s="35">
        <f t="shared" si="73"/>
        <v>46412</v>
      </c>
      <c r="I134" s="35" cm="1">
        <f t="array" ref="I134">IF(G134&lt;&gt;"",WORKDAY(Start,Duration-1),IF(Type="M",WORKDAY(Start,Duration-1),""))</f>
        <v>46421</v>
      </c>
      <c r="J134" s="43" cm="1">
        <f t="array" ref="J134">SUM(J135:J138*G135:G138)/SUM(G135:G138)</f>
        <v>0</v>
      </c>
      <c r="K134" s="46"/>
      <c r="L134" s="34"/>
      <c r="M134" s="36" t="str">
        <f t="shared" si="66"/>
        <v/>
      </c>
      <c r="N134" s="34" t="str">
        <f t="shared" si="66"/>
        <v/>
      </c>
      <c r="O134" s="34" t="str">
        <f t="shared" si="66"/>
        <v/>
      </c>
      <c r="P134" s="34" t="str">
        <f t="shared" si="66"/>
        <v/>
      </c>
      <c r="Q134" s="34" t="str">
        <f t="shared" si="66"/>
        <v/>
      </c>
      <c r="R134" s="34" t="str">
        <f t="shared" si="83"/>
        <v/>
      </c>
      <c r="S134" s="34" t="str">
        <f t="shared" si="83"/>
        <v/>
      </c>
      <c r="T134" s="34" t="str">
        <f t="shared" si="74"/>
        <v/>
      </c>
      <c r="U134" s="34" t="str">
        <f t="shared" si="74"/>
        <v/>
      </c>
      <c r="V134" s="34" t="str">
        <f t="shared" si="74"/>
        <v/>
      </c>
      <c r="W134" s="34" t="str">
        <f t="shared" si="74"/>
        <v/>
      </c>
      <c r="X134" s="34" t="str">
        <f t="shared" si="74"/>
        <v/>
      </c>
      <c r="Y134" s="34" t="str">
        <f t="shared" si="84"/>
        <v/>
      </c>
      <c r="Z134" s="34" t="str">
        <f t="shared" si="84"/>
        <v/>
      </c>
      <c r="AA134" s="34" t="str">
        <f t="shared" si="84"/>
        <v/>
      </c>
      <c r="AB134" s="34" t="str">
        <f t="shared" si="84"/>
        <v/>
      </c>
      <c r="AC134" s="34" t="str">
        <f t="shared" si="84"/>
        <v/>
      </c>
      <c r="AD134" s="34" t="str">
        <f t="shared" si="84"/>
        <v/>
      </c>
      <c r="AE134" s="34" t="str">
        <f t="shared" si="84"/>
        <v/>
      </c>
      <c r="AF134" s="34" t="str">
        <f t="shared" si="84"/>
        <v/>
      </c>
      <c r="AG134" s="34" t="str">
        <f t="shared" si="85"/>
        <v/>
      </c>
      <c r="AH134" s="34" t="str">
        <f t="shared" si="69"/>
        <v/>
      </c>
      <c r="AI134" s="34" t="str">
        <f t="shared" si="69"/>
        <v/>
      </c>
      <c r="AJ134" s="34" t="str">
        <f t="shared" si="69"/>
        <v/>
      </c>
      <c r="AK134" s="34" t="str">
        <f t="shared" si="69"/>
        <v/>
      </c>
      <c r="AL134" s="34" t="str">
        <f t="shared" si="69"/>
        <v/>
      </c>
      <c r="AM134" s="34" t="str">
        <f t="shared" si="85"/>
        <v/>
      </c>
      <c r="AN134" s="34" t="str">
        <f t="shared" si="85"/>
        <v/>
      </c>
      <c r="AO134" s="34" t="str">
        <f t="shared" si="75"/>
        <v/>
      </c>
      <c r="AP134" s="34" t="str">
        <f t="shared" si="75"/>
        <v/>
      </c>
      <c r="AQ134" s="34" t="str">
        <f t="shared" si="75"/>
        <v/>
      </c>
      <c r="AR134" s="34" t="str">
        <f t="shared" si="75"/>
        <v/>
      </c>
      <c r="AS134" s="34" t="str">
        <f t="shared" si="75"/>
        <v/>
      </c>
      <c r="AT134" s="34" t="str">
        <f t="shared" si="86"/>
        <v/>
      </c>
      <c r="AU134" s="34" t="str">
        <f t="shared" si="86"/>
        <v/>
      </c>
      <c r="AV134" s="34" t="str">
        <f t="shared" si="76"/>
        <v/>
      </c>
      <c r="AW134" s="34" t="str">
        <f t="shared" si="76"/>
        <v/>
      </c>
      <c r="AX134" s="34" t="str">
        <f t="shared" si="76"/>
        <v/>
      </c>
      <c r="AY134" s="34" t="str">
        <f t="shared" si="76"/>
        <v/>
      </c>
      <c r="AZ134" s="34" t="str">
        <f t="shared" si="76"/>
        <v/>
      </c>
      <c r="BA134" s="34" t="str">
        <f t="shared" si="87"/>
        <v/>
      </c>
      <c r="BB134" s="34" t="str">
        <f t="shared" si="87"/>
        <v/>
      </c>
      <c r="BC134" s="34" t="str">
        <f t="shared" si="72"/>
        <v/>
      </c>
      <c r="BD134" s="34" t="str">
        <f t="shared" si="72"/>
        <v/>
      </c>
      <c r="BE134" s="34" t="str">
        <f t="shared" si="72"/>
        <v/>
      </c>
      <c r="BF134" s="34" t="str">
        <f t="shared" si="72"/>
        <v/>
      </c>
      <c r="BG134" s="34" t="str">
        <f t="shared" si="72"/>
        <v/>
      </c>
      <c r="BH134" s="34" t="str">
        <f t="shared" si="87"/>
        <v/>
      </c>
      <c r="BI134" s="34" t="str">
        <f t="shared" si="87"/>
        <v/>
      </c>
      <c r="BJ134" s="34" t="str">
        <f t="shared" si="87"/>
        <v/>
      </c>
      <c r="BK134" s="34" t="str">
        <f t="shared" si="88"/>
        <v/>
      </c>
      <c r="BL134" s="34" t="str">
        <f t="shared" si="88"/>
        <v/>
      </c>
      <c r="BM134" s="34" t="str">
        <f t="shared" si="88"/>
        <v/>
      </c>
      <c r="BN134" s="34" t="str">
        <f t="shared" si="88"/>
        <v/>
      </c>
      <c r="BO134" s="34" t="str">
        <f t="shared" si="88"/>
        <v/>
      </c>
      <c r="BP134" s="34" t="str">
        <f t="shared" si="88"/>
        <v/>
      </c>
    </row>
    <row r="135" spans="2:68" outlineLevel="2" x14ac:dyDescent="0.25">
      <c r="B135" s="32">
        <f t="shared" si="58"/>
        <v>126</v>
      </c>
      <c r="C135" s="33" t="s">
        <v>5</v>
      </c>
      <c r="D135" s="34" t="s">
        <v>476</v>
      </c>
      <c r="E135" s="34"/>
      <c r="F135" s="40"/>
      <c r="G135" s="33">
        <v>1</v>
      </c>
      <c r="H135" s="35">
        <f>H134</f>
        <v>46412</v>
      </c>
      <c r="I135" s="35" cm="1">
        <f t="array" ref="I135">IF(G135&lt;&gt;"",WORKDAY(Start,Duration-1),IF(Type="M",WORKDAY(Start,Duration-1),""))</f>
        <v>46412</v>
      </c>
      <c r="J135" s="44"/>
      <c r="K135" s="47" t="s">
        <v>101</v>
      </c>
      <c r="L135" s="34"/>
      <c r="M135" s="36" t="str">
        <f t="shared" si="66"/>
        <v/>
      </c>
      <c r="N135" s="34" t="str">
        <f t="shared" si="66"/>
        <v/>
      </c>
      <c r="O135" s="34" t="str">
        <f t="shared" si="66"/>
        <v/>
      </c>
      <c r="P135" s="34" t="str">
        <f t="shared" si="66"/>
        <v/>
      </c>
      <c r="Q135" s="34" t="str">
        <f t="shared" si="66"/>
        <v/>
      </c>
      <c r="R135" s="34" t="str">
        <f t="shared" si="83"/>
        <v/>
      </c>
      <c r="S135" s="34" t="str">
        <f t="shared" si="83"/>
        <v/>
      </c>
      <c r="T135" s="34" t="str">
        <f t="shared" si="74"/>
        <v/>
      </c>
      <c r="U135" s="34" t="str">
        <f t="shared" si="74"/>
        <v/>
      </c>
      <c r="V135" s="34" t="str">
        <f t="shared" si="74"/>
        <v/>
      </c>
      <c r="W135" s="34" t="str">
        <f t="shared" si="74"/>
        <v/>
      </c>
      <c r="X135" s="34" t="str">
        <f t="shared" si="74"/>
        <v/>
      </c>
      <c r="Y135" s="34" t="str">
        <f t="shared" si="84"/>
        <v/>
      </c>
      <c r="Z135" s="34" t="str">
        <f t="shared" si="84"/>
        <v/>
      </c>
      <c r="AA135" s="34" t="str">
        <f t="shared" si="84"/>
        <v/>
      </c>
      <c r="AB135" s="34" t="str">
        <f t="shared" si="84"/>
        <v/>
      </c>
      <c r="AC135" s="34" t="str">
        <f t="shared" si="84"/>
        <v/>
      </c>
      <c r="AD135" s="34" t="str">
        <f t="shared" si="84"/>
        <v/>
      </c>
      <c r="AE135" s="34" t="str">
        <f t="shared" si="84"/>
        <v/>
      </c>
      <c r="AF135" s="34" t="str">
        <f t="shared" si="84"/>
        <v/>
      </c>
      <c r="AG135" s="34" t="str">
        <f t="shared" si="85"/>
        <v/>
      </c>
      <c r="AH135" s="34" t="str">
        <f t="shared" si="69"/>
        <v/>
      </c>
      <c r="AI135" s="34" t="str">
        <f t="shared" si="69"/>
        <v/>
      </c>
      <c r="AJ135" s="34" t="str">
        <f t="shared" si="69"/>
        <v/>
      </c>
      <c r="AK135" s="34" t="str">
        <f t="shared" si="69"/>
        <v/>
      </c>
      <c r="AL135" s="34" t="str">
        <f t="shared" si="69"/>
        <v/>
      </c>
      <c r="AM135" s="34" t="str">
        <f t="shared" si="85"/>
        <v/>
      </c>
      <c r="AN135" s="34" t="str">
        <f t="shared" si="85"/>
        <v/>
      </c>
      <c r="AO135" s="34" t="str">
        <f t="shared" si="75"/>
        <v/>
      </c>
      <c r="AP135" s="34" t="str">
        <f t="shared" si="75"/>
        <v/>
      </c>
      <c r="AQ135" s="34" t="str">
        <f t="shared" si="75"/>
        <v/>
      </c>
      <c r="AR135" s="34" t="str">
        <f t="shared" si="75"/>
        <v/>
      </c>
      <c r="AS135" s="34" t="str">
        <f t="shared" si="75"/>
        <v/>
      </c>
      <c r="AT135" s="34" t="str">
        <f t="shared" si="86"/>
        <v/>
      </c>
      <c r="AU135" s="34" t="str">
        <f t="shared" si="86"/>
        <v/>
      </c>
      <c r="AV135" s="34" t="str">
        <f t="shared" si="76"/>
        <v/>
      </c>
      <c r="AW135" s="34" t="str">
        <f t="shared" si="76"/>
        <v/>
      </c>
      <c r="AX135" s="34" t="str">
        <f t="shared" si="76"/>
        <v/>
      </c>
      <c r="AY135" s="34" t="str">
        <f t="shared" si="76"/>
        <v/>
      </c>
      <c r="AZ135" s="34" t="str">
        <f t="shared" si="76"/>
        <v/>
      </c>
      <c r="BA135" s="34" t="str">
        <f t="shared" si="87"/>
        <v/>
      </c>
      <c r="BB135" s="34" t="str">
        <f t="shared" si="87"/>
        <v/>
      </c>
      <c r="BC135" s="34" t="str">
        <f t="shared" si="72"/>
        <v/>
      </c>
      <c r="BD135" s="34" t="str">
        <f t="shared" si="72"/>
        <v/>
      </c>
      <c r="BE135" s="34" t="str">
        <f t="shared" si="72"/>
        <v/>
      </c>
      <c r="BF135" s="34" t="str">
        <f t="shared" si="72"/>
        <v/>
      </c>
      <c r="BG135" s="34" t="str">
        <f t="shared" si="72"/>
        <v/>
      </c>
      <c r="BH135" s="34" t="str">
        <f t="shared" si="87"/>
        <v/>
      </c>
      <c r="BI135" s="34" t="str">
        <f t="shared" si="87"/>
        <v/>
      </c>
      <c r="BJ135" s="34" t="str">
        <f t="shared" si="87"/>
        <v/>
      </c>
      <c r="BK135" s="34" t="str">
        <f t="shared" si="88"/>
        <v/>
      </c>
      <c r="BL135" s="34" t="str">
        <f t="shared" si="88"/>
        <v/>
      </c>
      <c r="BM135" s="34" t="str">
        <f t="shared" si="88"/>
        <v/>
      </c>
      <c r="BN135" s="34" t="str">
        <f t="shared" si="88"/>
        <v/>
      </c>
      <c r="BO135" s="34" t="str">
        <f t="shared" si="88"/>
        <v/>
      </c>
      <c r="BP135" s="34" t="str">
        <f t="shared" si="88"/>
        <v/>
      </c>
    </row>
    <row r="136" spans="2:68" outlineLevel="2" x14ac:dyDescent="0.25">
      <c r="B136" s="32">
        <f t="shared" si="58"/>
        <v>127</v>
      </c>
      <c r="C136" s="33" t="s">
        <v>5</v>
      </c>
      <c r="D136" s="34" t="s">
        <v>477</v>
      </c>
      <c r="E136" s="34"/>
      <c r="F136" s="40"/>
      <c r="G136" s="33">
        <v>5</v>
      </c>
      <c r="H136" s="35">
        <f t="shared" si="73"/>
        <v>46413</v>
      </c>
      <c r="I136" s="35" cm="1">
        <f t="array" ref="I136">IF(G136&lt;&gt;"",WORKDAY(Start,Duration-1),IF(Type="M",WORKDAY(Start,Duration-1),""))</f>
        <v>46419</v>
      </c>
      <c r="J136" s="44"/>
      <c r="K136" s="47" t="s">
        <v>101</v>
      </c>
      <c r="L136" s="34" t="s">
        <v>478</v>
      </c>
      <c r="M136" s="36" t="str">
        <f t="shared" si="66"/>
        <v/>
      </c>
      <c r="N136" s="34" t="str">
        <f t="shared" si="66"/>
        <v/>
      </c>
      <c r="O136" s="34" t="str">
        <f t="shared" si="66"/>
        <v/>
      </c>
      <c r="P136" s="34" t="str">
        <f t="shared" si="66"/>
        <v/>
      </c>
      <c r="Q136" s="34" t="str">
        <f t="shared" si="66"/>
        <v/>
      </c>
      <c r="R136" s="34"/>
      <c r="S136" s="34"/>
      <c r="T136" s="34" t="str">
        <f t="shared" si="74"/>
        <v/>
      </c>
      <c r="U136" s="34" t="str">
        <f t="shared" si="74"/>
        <v/>
      </c>
      <c r="V136" s="34" t="str">
        <f t="shared" si="74"/>
        <v/>
      </c>
      <c r="W136" s="34" t="str">
        <f t="shared" si="74"/>
        <v/>
      </c>
      <c r="X136" s="34" t="str">
        <f t="shared" si="74"/>
        <v/>
      </c>
      <c r="Y136" s="34"/>
      <c r="Z136" s="34"/>
      <c r="AA136" s="34" t="str">
        <f t="shared" si="84"/>
        <v/>
      </c>
      <c r="AB136" s="34" t="str">
        <f t="shared" si="84"/>
        <v/>
      </c>
      <c r="AC136" s="34" t="str">
        <f t="shared" si="84"/>
        <v/>
      </c>
      <c r="AD136" s="34" t="str">
        <f t="shared" si="84"/>
        <v/>
      </c>
      <c r="AE136" s="34" t="str">
        <f t="shared" si="84"/>
        <v/>
      </c>
      <c r="AF136" s="34"/>
      <c r="AG136" s="34"/>
      <c r="AH136" s="34" t="str">
        <f t="shared" si="69"/>
        <v/>
      </c>
      <c r="AI136" s="34" t="str">
        <f t="shared" si="69"/>
        <v/>
      </c>
      <c r="AJ136" s="34" t="str">
        <f t="shared" si="69"/>
        <v/>
      </c>
      <c r="AK136" s="34" t="str">
        <f t="shared" si="69"/>
        <v/>
      </c>
      <c r="AL136" s="34" t="str">
        <f t="shared" si="69"/>
        <v/>
      </c>
      <c r="AM136" s="34"/>
      <c r="AN136" s="34"/>
      <c r="AO136" s="34" t="str">
        <f t="shared" si="75"/>
        <v/>
      </c>
      <c r="AP136" s="34" t="str">
        <f t="shared" si="75"/>
        <v/>
      </c>
      <c r="AQ136" s="34" t="str">
        <f t="shared" si="75"/>
        <v/>
      </c>
      <c r="AR136" s="34" t="str">
        <f t="shared" si="75"/>
        <v/>
      </c>
      <c r="AS136" s="34" t="str">
        <f t="shared" si="75"/>
        <v/>
      </c>
      <c r="AT136" s="34"/>
      <c r="AU136" s="34"/>
      <c r="AV136" s="34" t="str">
        <f t="shared" si="76"/>
        <v/>
      </c>
      <c r="AW136" s="34" t="str">
        <f t="shared" si="76"/>
        <v/>
      </c>
      <c r="AX136" s="34" t="str">
        <f t="shared" si="76"/>
        <v/>
      </c>
      <c r="AY136" s="34" t="str">
        <f t="shared" si="76"/>
        <v/>
      </c>
      <c r="AZ136" s="34" t="str">
        <f t="shared" si="76"/>
        <v/>
      </c>
      <c r="BA136" s="34"/>
      <c r="BB136" s="34"/>
      <c r="BC136" s="34" t="str">
        <f t="shared" si="72"/>
        <v/>
      </c>
      <c r="BD136" s="34" t="str">
        <f t="shared" si="72"/>
        <v/>
      </c>
      <c r="BE136" s="34" t="str">
        <f t="shared" si="72"/>
        <v/>
      </c>
      <c r="BF136" s="34" t="str">
        <f t="shared" si="72"/>
        <v/>
      </c>
      <c r="BG136" s="34" t="str">
        <f t="shared" si="72"/>
        <v/>
      </c>
      <c r="BH136" s="34"/>
      <c r="BI136" s="34"/>
      <c r="BJ136" s="34"/>
      <c r="BK136" s="34"/>
      <c r="BL136" s="34"/>
      <c r="BM136" s="34"/>
      <c r="BN136" s="34"/>
      <c r="BO136" s="34"/>
      <c r="BP136" s="34"/>
    </row>
    <row r="137" spans="2:68" outlineLevel="2" x14ac:dyDescent="0.25">
      <c r="B137" s="32">
        <f t="shared" si="58"/>
        <v>128</v>
      </c>
      <c r="C137" s="33" t="s">
        <v>5</v>
      </c>
      <c r="D137" s="34" t="s">
        <v>394</v>
      </c>
      <c r="E137" s="34"/>
      <c r="F137" s="40"/>
      <c r="G137" s="33">
        <v>1</v>
      </c>
      <c r="H137" s="35">
        <f t="shared" si="73"/>
        <v>46420</v>
      </c>
      <c r="I137" s="35" cm="1">
        <f t="array" ref="I137">IF(G137&lt;&gt;"",WORKDAY(Start,Duration-1),IF(Type="M",WORKDAY(Start,Duration-1),""))</f>
        <v>46420</v>
      </c>
      <c r="J137" s="44"/>
      <c r="K137" s="47" t="s">
        <v>101</v>
      </c>
      <c r="L137" s="34"/>
      <c r="M137" s="36" t="str">
        <f t="shared" si="66"/>
        <v/>
      </c>
      <c r="N137" s="34" t="str">
        <f t="shared" si="66"/>
        <v/>
      </c>
      <c r="O137" s="34" t="str">
        <f t="shared" si="66"/>
        <v/>
      </c>
      <c r="P137" s="34" t="str">
        <f t="shared" si="66"/>
        <v/>
      </c>
      <c r="Q137" s="34" t="str">
        <f t="shared" si="66"/>
        <v/>
      </c>
      <c r="R137" s="34"/>
      <c r="S137" s="34"/>
      <c r="T137" s="34" t="str">
        <f t="shared" si="74"/>
        <v/>
      </c>
      <c r="U137" s="34" t="str">
        <f t="shared" si="74"/>
        <v/>
      </c>
      <c r="V137" s="34" t="str">
        <f t="shared" si="74"/>
        <v/>
      </c>
      <c r="W137" s="34" t="str">
        <f t="shared" si="74"/>
        <v/>
      </c>
      <c r="X137" s="34" t="str">
        <f t="shared" si="74"/>
        <v/>
      </c>
      <c r="Y137" s="34"/>
      <c r="Z137" s="34"/>
      <c r="AA137" s="34" t="str">
        <f t="shared" si="84"/>
        <v/>
      </c>
      <c r="AB137" s="34" t="str">
        <f t="shared" si="84"/>
        <v/>
      </c>
      <c r="AC137" s="34" t="str">
        <f t="shared" si="84"/>
        <v/>
      </c>
      <c r="AD137" s="34" t="str">
        <f t="shared" si="84"/>
        <v/>
      </c>
      <c r="AE137" s="34" t="str">
        <f t="shared" si="84"/>
        <v/>
      </c>
      <c r="AF137" s="34"/>
      <c r="AG137" s="34"/>
      <c r="AH137" s="34" t="str">
        <f t="shared" si="69"/>
        <v/>
      </c>
      <c r="AI137" s="34" t="str">
        <f t="shared" si="69"/>
        <v/>
      </c>
      <c r="AJ137" s="34" t="str">
        <f t="shared" si="69"/>
        <v/>
      </c>
      <c r="AK137" s="34" t="str">
        <f t="shared" si="69"/>
        <v/>
      </c>
      <c r="AL137" s="34" t="str">
        <f t="shared" si="69"/>
        <v/>
      </c>
      <c r="AM137" s="34"/>
      <c r="AN137" s="34"/>
      <c r="AO137" s="34" t="str">
        <f t="shared" si="75"/>
        <v/>
      </c>
      <c r="AP137" s="34" t="str">
        <f t="shared" si="75"/>
        <v/>
      </c>
      <c r="AQ137" s="34" t="str">
        <f t="shared" si="75"/>
        <v/>
      </c>
      <c r="AR137" s="34" t="str">
        <f t="shared" si="75"/>
        <v/>
      </c>
      <c r="AS137" s="34" t="str">
        <f t="shared" si="75"/>
        <v/>
      </c>
      <c r="AT137" s="34"/>
      <c r="AU137" s="34"/>
      <c r="AV137" s="34" t="str">
        <f t="shared" si="76"/>
        <v/>
      </c>
      <c r="AW137" s="34" t="str">
        <f t="shared" si="76"/>
        <v/>
      </c>
      <c r="AX137" s="34" t="str">
        <f t="shared" si="76"/>
        <v/>
      </c>
      <c r="AY137" s="34" t="str">
        <f t="shared" si="76"/>
        <v/>
      </c>
      <c r="AZ137" s="34" t="str">
        <f t="shared" si="76"/>
        <v/>
      </c>
      <c r="BA137" s="34"/>
      <c r="BB137" s="34"/>
      <c r="BC137" s="34" t="str">
        <f t="shared" si="72"/>
        <v/>
      </c>
      <c r="BD137" s="34" t="str">
        <f t="shared" si="72"/>
        <v/>
      </c>
      <c r="BE137" s="34" t="str">
        <f t="shared" si="72"/>
        <v/>
      </c>
      <c r="BF137" s="34" t="str">
        <f t="shared" si="72"/>
        <v/>
      </c>
      <c r="BG137" s="34" t="str">
        <f t="shared" si="72"/>
        <v/>
      </c>
      <c r="BH137" s="34"/>
      <c r="BI137" s="34"/>
      <c r="BJ137" s="34"/>
      <c r="BK137" s="34"/>
      <c r="BL137" s="34"/>
      <c r="BM137" s="34"/>
      <c r="BN137" s="34"/>
      <c r="BO137" s="34"/>
      <c r="BP137" s="34"/>
    </row>
    <row r="138" spans="2:68" outlineLevel="2" x14ac:dyDescent="0.25">
      <c r="B138" s="32">
        <f t="shared" si="58"/>
        <v>129</v>
      </c>
      <c r="C138" s="33" t="s">
        <v>5</v>
      </c>
      <c r="D138" s="34" t="s">
        <v>475</v>
      </c>
      <c r="E138" s="34"/>
      <c r="F138" s="40"/>
      <c r="G138" s="33">
        <v>1</v>
      </c>
      <c r="H138" s="35">
        <f t="shared" si="73"/>
        <v>46421</v>
      </c>
      <c r="I138" s="35" cm="1">
        <f t="array" ref="I138">IF(G138&lt;&gt;"",WORKDAY(Start,Duration-1),IF(Type="M",WORKDAY(Start,Duration-1),""))</f>
        <v>46421</v>
      </c>
      <c r="J138" s="44"/>
      <c r="K138" s="47" t="s">
        <v>101</v>
      </c>
      <c r="L138" s="34" t="s">
        <v>70</v>
      </c>
      <c r="M138" s="36" t="str">
        <f t="shared" si="66"/>
        <v/>
      </c>
      <c r="N138" s="34" t="str">
        <f t="shared" si="66"/>
        <v/>
      </c>
      <c r="O138" s="34" t="str">
        <f t="shared" si="66"/>
        <v/>
      </c>
      <c r="P138" s="34" t="str">
        <f t="shared" si="66"/>
        <v/>
      </c>
      <c r="Q138" s="34" t="str">
        <f t="shared" si="66"/>
        <v/>
      </c>
      <c r="R138" s="34" t="str">
        <f t="shared" si="83"/>
        <v/>
      </c>
      <c r="S138" s="34" t="str">
        <f t="shared" si="83"/>
        <v/>
      </c>
      <c r="T138" s="34" t="str">
        <f t="shared" si="74"/>
        <v/>
      </c>
      <c r="U138" s="34" t="str">
        <f t="shared" si="74"/>
        <v/>
      </c>
      <c r="V138" s="34" t="str">
        <f t="shared" si="74"/>
        <v/>
      </c>
      <c r="W138" s="34" t="str">
        <f t="shared" si="74"/>
        <v/>
      </c>
      <c r="X138" s="34" t="str">
        <f t="shared" si="74"/>
        <v/>
      </c>
      <c r="Y138" s="34" t="str">
        <f t="shared" si="84"/>
        <v/>
      </c>
      <c r="Z138" s="34" t="str">
        <f t="shared" si="84"/>
        <v/>
      </c>
      <c r="AA138" s="34" t="str">
        <f t="shared" si="84"/>
        <v/>
      </c>
      <c r="AB138" s="34" t="str">
        <f t="shared" si="84"/>
        <v/>
      </c>
      <c r="AC138" s="34" t="str">
        <f t="shared" si="84"/>
        <v/>
      </c>
      <c r="AD138" s="34" t="str">
        <f t="shared" si="84"/>
        <v/>
      </c>
      <c r="AE138" s="34" t="str">
        <f t="shared" si="84"/>
        <v/>
      </c>
      <c r="AF138" s="34" t="str">
        <f t="shared" si="84"/>
        <v/>
      </c>
      <c r="AG138" s="34" t="str">
        <f t="shared" si="85"/>
        <v/>
      </c>
      <c r="AH138" s="34" t="str">
        <f t="shared" si="69"/>
        <v/>
      </c>
      <c r="AI138" s="34" t="str">
        <f t="shared" si="69"/>
        <v/>
      </c>
      <c r="AJ138" s="34" t="str">
        <f t="shared" si="69"/>
        <v/>
      </c>
      <c r="AK138" s="34" t="str">
        <f t="shared" si="69"/>
        <v/>
      </c>
      <c r="AL138" s="34" t="str">
        <f t="shared" si="69"/>
        <v/>
      </c>
      <c r="AM138" s="34" t="str">
        <f t="shared" si="85"/>
        <v/>
      </c>
      <c r="AN138" s="34" t="str">
        <f t="shared" si="85"/>
        <v/>
      </c>
      <c r="AO138" s="34" t="str">
        <f t="shared" si="75"/>
        <v/>
      </c>
      <c r="AP138" s="34" t="str">
        <f t="shared" si="75"/>
        <v/>
      </c>
      <c r="AQ138" s="34" t="str">
        <f t="shared" si="75"/>
        <v/>
      </c>
      <c r="AR138" s="34" t="str">
        <f t="shared" si="75"/>
        <v/>
      </c>
      <c r="AS138" s="34" t="str">
        <f t="shared" si="75"/>
        <v/>
      </c>
      <c r="AT138" s="34" t="str">
        <f t="shared" si="86"/>
        <v/>
      </c>
      <c r="AU138" s="34" t="str">
        <f t="shared" si="86"/>
        <v/>
      </c>
      <c r="AV138" s="34" t="str">
        <f t="shared" si="76"/>
        <v/>
      </c>
      <c r="AW138" s="34" t="str">
        <f t="shared" si="76"/>
        <v/>
      </c>
      <c r="AX138" s="34" t="str">
        <f t="shared" si="76"/>
        <v/>
      </c>
      <c r="AY138" s="34" t="str">
        <f t="shared" si="76"/>
        <v/>
      </c>
      <c r="AZ138" s="34" t="str">
        <f t="shared" si="76"/>
        <v/>
      </c>
      <c r="BA138" s="34" t="str">
        <f t="shared" si="87"/>
        <v/>
      </c>
      <c r="BB138" s="34" t="str">
        <f t="shared" si="87"/>
        <v/>
      </c>
      <c r="BC138" s="34" t="str">
        <f t="shared" si="72"/>
        <v/>
      </c>
      <c r="BD138" s="34" t="str">
        <f t="shared" si="72"/>
        <v/>
      </c>
      <c r="BE138" s="34" t="str">
        <f t="shared" si="72"/>
        <v/>
      </c>
      <c r="BF138" s="34" t="str">
        <f t="shared" si="72"/>
        <v/>
      </c>
      <c r="BG138" s="34" t="str">
        <f t="shared" si="72"/>
        <v/>
      </c>
      <c r="BH138" s="34" t="str">
        <f t="shared" si="87"/>
        <v/>
      </c>
      <c r="BI138" s="34" t="str">
        <f t="shared" si="87"/>
        <v/>
      </c>
      <c r="BJ138" s="34" t="str">
        <f t="shared" si="87"/>
        <v/>
      </c>
      <c r="BK138" s="34" t="str">
        <f t="shared" si="88"/>
        <v/>
      </c>
      <c r="BL138" s="34" t="str">
        <f t="shared" si="88"/>
        <v/>
      </c>
      <c r="BM138" s="34" t="str">
        <f t="shared" si="88"/>
        <v/>
      </c>
      <c r="BN138" s="34" t="str">
        <f t="shared" si="88"/>
        <v/>
      </c>
      <c r="BO138" s="34" t="str">
        <f t="shared" si="88"/>
        <v/>
      </c>
      <c r="BP138" s="34" t="str">
        <f t="shared" si="88"/>
        <v/>
      </c>
    </row>
    <row r="139" spans="2:68" x14ac:dyDescent="0.25">
      <c r="B139" s="32">
        <f t="shared" si="58"/>
        <v>130</v>
      </c>
      <c r="C139" s="33" t="s">
        <v>1</v>
      </c>
      <c r="D139" s="37" t="s">
        <v>384</v>
      </c>
      <c r="E139" s="37"/>
      <c r="F139" s="41"/>
      <c r="G139" s="33">
        <f>SUM(G140:G150)</f>
        <v>25</v>
      </c>
      <c r="H139" s="35">
        <f t="shared" si="73"/>
        <v>46422</v>
      </c>
      <c r="I139" s="35" cm="1">
        <f t="array" ref="I139">IF(G139&lt;&gt;"",WORKDAY(Start,Duration-1),IF(Type="M",WORKDAY(Start,Duration-1),""))</f>
        <v>46456</v>
      </c>
      <c r="J139" s="43" cm="1">
        <f t="array" ref="J139">SUM(J140:J150*G140:G150)/SUM(G140:G150)</f>
        <v>0</v>
      </c>
      <c r="K139" s="46"/>
      <c r="L139" s="34"/>
      <c r="M139" s="36" t="str">
        <f t="shared" si="66"/>
        <v/>
      </c>
      <c r="N139" s="34" t="str">
        <f t="shared" si="66"/>
        <v/>
      </c>
      <c r="O139" s="34" t="str">
        <f t="shared" si="66"/>
        <v/>
      </c>
      <c r="P139" s="34" t="str">
        <f t="shared" si="66"/>
        <v/>
      </c>
      <c r="Q139" s="34" t="str">
        <f t="shared" si="66"/>
        <v/>
      </c>
      <c r="R139" s="34" t="str">
        <f t="shared" si="83"/>
        <v/>
      </c>
      <c r="S139" s="34" t="str">
        <f t="shared" si="83"/>
        <v/>
      </c>
      <c r="T139" s="34" t="str">
        <f t="shared" si="74"/>
        <v/>
      </c>
      <c r="U139" s="34" t="str">
        <f t="shared" si="74"/>
        <v/>
      </c>
      <c r="V139" s="34" t="str">
        <f t="shared" si="74"/>
        <v/>
      </c>
      <c r="W139" s="34" t="str">
        <f t="shared" si="74"/>
        <v/>
      </c>
      <c r="X139" s="34" t="str">
        <f t="shared" si="74"/>
        <v/>
      </c>
      <c r="Y139" s="34" t="str">
        <f t="shared" si="84"/>
        <v/>
      </c>
      <c r="Z139" s="34" t="str">
        <f t="shared" si="84"/>
        <v/>
      </c>
      <c r="AA139" s="34" t="str">
        <f t="shared" si="84"/>
        <v/>
      </c>
      <c r="AB139" s="34" t="str">
        <f t="shared" si="84"/>
        <v/>
      </c>
      <c r="AC139" s="34" t="str">
        <f t="shared" si="84"/>
        <v/>
      </c>
      <c r="AD139" s="34" t="str">
        <f t="shared" si="84"/>
        <v/>
      </c>
      <c r="AE139" s="34" t="str">
        <f t="shared" si="84"/>
        <v/>
      </c>
      <c r="AF139" s="34" t="str">
        <f t="shared" si="84"/>
        <v/>
      </c>
      <c r="AG139" s="34" t="str">
        <f t="shared" si="85"/>
        <v/>
      </c>
      <c r="AH139" s="34" t="str">
        <f t="shared" si="69"/>
        <v/>
      </c>
      <c r="AI139" s="34" t="str">
        <f t="shared" si="69"/>
        <v/>
      </c>
      <c r="AJ139" s="34" t="str">
        <f t="shared" si="69"/>
        <v/>
      </c>
      <c r="AK139" s="34" t="str">
        <f t="shared" si="69"/>
        <v/>
      </c>
      <c r="AL139" s="34" t="str">
        <f t="shared" si="69"/>
        <v/>
      </c>
      <c r="AM139" s="34" t="str">
        <f t="shared" si="85"/>
        <v/>
      </c>
      <c r="AN139" s="34" t="str">
        <f t="shared" si="85"/>
        <v/>
      </c>
      <c r="AO139" s="34" t="str">
        <f t="shared" si="75"/>
        <v/>
      </c>
      <c r="AP139" s="34" t="str">
        <f t="shared" si="75"/>
        <v/>
      </c>
      <c r="AQ139" s="34" t="str">
        <f t="shared" si="75"/>
        <v/>
      </c>
      <c r="AR139" s="34" t="str">
        <f t="shared" si="75"/>
        <v/>
      </c>
      <c r="AS139" s="34" t="str">
        <f t="shared" si="75"/>
        <v/>
      </c>
      <c r="AT139" s="34" t="str">
        <f t="shared" si="86"/>
        <v/>
      </c>
      <c r="AU139" s="34" t="str">
        <f t="shared" si="86"/>
        <v/>
      </c>
      <c r="AV139" s="34" t="str">
        <f t="shared" si="76"/>
        <v/>
      </c>
      <c r="AW139" s="34" t="str">
        <f t="shared" si="76"/>
        <v/>
      </c>
      <c r="AX139" s="34" t="str">
        <f t="shared" si="76"/>
        <v/>
      </c>
      <c r="AY139" s="34" t="str">
        <f t="shared" si="76"/>
        <v/>
      </c>
      <c r="AZ139" s="34" t="str">
        <f t="shared" si="76"/>
        <v/>
      </c>
      <c r="BA139" s="34" t="str">
        <f t="shared" si="87"/>
        <v/>
      </c>
      <c r="BB139" s="34" t="str">
        <f t="shared" si="87"/>
        <v/>
      </c>
      <c r="BC139" s="34" t="str">
        <f t="shared" si="72"/>
        <v/>
      </c>
      <c r="BD139" s="34" t="str">
        <f t="shared" si="72"/>
        <v/>
      </c>
      <c r="BE139" s="34" t="str">
        <f t="shared" si="72"/>
        <v/>
      </c>
      <c r="BF139" s="34" t="str">
        <f t="shared" si="72"/>
        <v/>
      </c>
      <c r="BG139" s="34" t="str">
        <f t="shared" si="72"/>
        <v/>
      </c>
      <c r="BH139" s="34" t="str">
        <f t="shared" si="87"/>
        <v/>
      </c>
      <c r="BI139" s="34" t="str">
        <f t="shared" si="87"/>
        <v/>
      </c>
      <c r="BJ139" s="34" t="str">
        <f t="shared" si="87"/>
        <v/>
      </c>
      <c r="BK139" s="34" t="str">
        <f t="shared" si="88"/>
        <v/>
      </c>
      <c r="BL139" s="34" t="str">
        <f t="shared" si="88"/>
        <v/>
      </c>
      <c r="BM139" s="34" t="str">
        <f t="shared" si="88"/>
        <v/>
      </c>
      <c r="BN139" s="34" t="str">
        <f t="shared" si="88"/>
        <v/>
      </c>
      <c r="BO139" s="34" t="str">
        <f t="shared" si="88"/>
        <v/>
      </c>
      <c r="BP139" s="34" t="str">
        <f t="shared" si="88"/>
        <v/>
      </c>
    </row>
    <row r="140" spans="2:68" outlineLevel="1" x14ac:dyDescent="0.25">
      <c r="B140" s="32">
        <f t="shared" si="58"/>
        <v>131</v>
      </c>
      <c r="C140" s="33" t="s">
        <v>5</v>
      </c>
      <c r="D140" s="34" t="s">
        <v>435</v>
      </c>
      <c r="E140" s="37"/>
      <c r="F140" s="41"/>
      <c r="G140" s="33">
        <v>2</v>
      </c>
      <c r="H140" s="35">
        <f>H139</f>
        <v>46422</v>
      </c>
      <c r="I140" s="35" cm="1">
        <f t="array" ref="I140">IF(G140&lt;&gt;"",WORKDAY(Start,Duration-1),IF(Type="M",WORKDAY(Start,Duration-1),""))</f>
        <v>46423</v>
      </c>
      <c r="J140" s="43"/>
      <c r="K140" s="46" t="s">
        <v>415</v>
      </c>
      <c r="L140" s="34"/>
      <c r="M140" s="36" t="str">
        <f t="shared" si="66"/>
        <v/>
      </c>
      <c r="N140" s="34" t="str">
        <f t="shared" si="66"/>
        <v/>
      </c>
      <c r="O140" s="34" t="str">
        <f t="shared" si="66"/>
        <v/>
      </c>
      <c r="P140" s="34" t="str">
        <f t="shared" si="66"/>
        <v/>
      </c>
      <c r="Q140" s="34" t="str">
        <f t="shared" si="66"/>
        <v/>
      </c>
      <c r="R140" s="34"/>
      <c r="S140" s="34"/>
      <c r="T140" s="34" t="str">
        <f t="shared" si="74"/>
        <v/>
      </c>
      <c r="U140" s="34" t="str">
        <f t="shared" si="74"/>
        <v/>
      </c>
      <c r="V140" s="34" t="str">
        <f t="shared" si="74"/>
        <v/>
      </c>
      <c r="W140" s="34" t="str">
        <f t="shared" si="74"/>
        <v/>
      </c>
      <c r="X140" s="34" t="str">
        <f t="shared" si="74"/>
        <v/>
      </c>
      <c r="Y140" s="34"/>
      <c r="Z140" s="34"/>
      <c r="AA140" s="34" t="str">
        <f t="shared" si="84"/>
        <v/>
      </c>
      <c r="AB140" s="34" t="str">
        <f t="shared" si="84"/>
        <v/>
      </c>
      <c r="AC140" s="34" t="str">
        <f t="shared" si="84"/>
        <v/>
      </c>
      <c r="AD140" s="34" t="str">
        <f t="shared" si="84"/>
        <v/>
      </c>
      <c r="AE140" s="34" t="str">
        <f t="shared" si="84"/>
        <v/>
      </c>
      <c r="AF140" s="34"/>
      <c r="AG140" s="34"/>
      <c r="AH140" s="34" t="str">
        <f t="shared" si="69"/>
        <v/>
      </c>
      <c r="AI140" s="34" t="str">
        <f t="shared" si="69"/>
        <v/>
      </c>
      <c r="AJ140" s="34" t="str">
        <f t="shared" si="69"/>
        <v/>
      </c>
      <c r="AK140" s="34" t="str">
        <f t="shared" si="69"/>
        <v/>
      </c>
      <c r="AL140" s="34" t="str">
        <f t="shared" si="69"/>
        <v/>
      </c>
      <c r="AM140" s="34"/>
      <c r="AN140" s="34"/>
      <c r="AO140" s="34" t="str">
        <f t="shared" si="75"/>
        <v/>
      </c>
      <c r="AP140" s="34" t="str">
        <f t="shared" si="75"/>
        <v/>
      </c>
      <c r="AQ140" s="34" t="str">
        <f t="shared" si="75"/>
        <v/>
      </c>
      <c r="AR140" s="34" t="str">
        <f t="shared" si="75"/>
        <v/>
      </c>
      <c r="AS140" s="34" t="str">
        <f t="shared" si="75"/>
        <v/>
      </c>
      <c r="AT140" s="34"/>
      <c r="AU140" s="34"/>
      <c r="AV140" s="34" t="str">
        <f t="shared" si="76"/>
        <v/>
      </c>
      <c r="AW140" s="34" t="str">
        <f t="shared" si="76"/>
        <v/>
      </c>
      <c r="AX140" s="34" t="str">
        <f t="shared" si="76"/>
        <v/>
      </c>
      <c r="AY140" s="34" t="str">
        <f t="shared" si="76"/>
        <v/>
      </c>
      <c r="AZ140" s="34" t="str">
        <f t="shared" si="76"/>
        <v/>
      </c>
      <c r="BA140" s="34"/>
      <c r="BB140" s="34"/>
      <c r="BC140" s="34" t="str">
        <f t="shared" si="72"/>
        <v/>
      </c>
      <c r="BD140" s="34" t="str">
        <f t="shared" si="72"/>
        <v/>
      </c>
      <c r="BE140" s="34" t="str">
        <f t="shared" si="72"/>
        <v/>
      </c>
      <c r="BF140" s="34" t="str">
        <f t="shared" si="72"/>
        <v/>
      </c>
      <c r="BG140" s="34" t="str">
        <f t="shared" si="72"/>
        <v/>
      </c>
      <c r="BH140" s="34"/>
      <c r="BI140" s="34"/>
      <c r="BJ140" s="34"/>
      <c r="BK140" s="34"/>
      <c r="BL140" s="34"/>
      <c r="BM140" s="34"/>
      <c r="BN140" s="34"/>
      <c r="BO140" s="34"/>
      <c r="BP140" s="34"/>
    </row>
    <row r="141" spans="2:68" outlineLevel="1" x14ac:dyDescent="0.25">
      <c r="B141" s="32">
        <f t="shared" si="58"/>
        <v>132</v>
      </c>
      <c r="C141" s="33" t="s">
        <v>5</v>
      </c>
      <c r="D141" s="34" t="s">
        <v>431</v>
      </c>
      <c r="E141" s="37"/>
      <c r="F141" s="41"/>
      <c r="G141" s="33">
        <v>2</v>
      </c>
      <c r="H141" s="35">
        <f t="shared" si="73"/>
        <v>46426</v>
      </c>
      <c r="I141" s="35" cm="1">
        <f t="array" ref="I141">IF(G141&lt;&gt;"",WORKDAY(Start,Duration-1),IF(Type="M",WORKDAY(Start,Duration-1),""))</f>
        <v>46427</v>
      </c>
      <c r="J141" s="43"/>
      <c r="K141" s="46" t="s">
        <v>415</v>
      </c>
      <c r="L141" s="34"/>
      <c r="M141" s="36" t="str">
        <f t="shared" si="66"/>
        <v/>
      </c>
      <c r="N141" s="34" t="str">
        <f t="shared" si="66"/>
        <v/>
      </c>
      <c r="O141" s="34" t="str">
        <f t="shared" si="66"/>
        <v/>
      </c>
      <c r="P141" s="34" t="str">
        <f t="shared" si="66"/>
        <v/>
      </c>
      <c r="Q141" s="34" t="str">
        <f t="shared" si="66"/>
        <v/>
      </c>
      <c r="R141" s="34"/>
      <c r="S141" s="34"/>
      <c r="T141" s="34" t="str">
        <f t="shared" si="74"/>
        <v/>
      </c>
      <c r="U141" s="34" t="str">
        <f t="shared" si="74"/>
        <v/>
      </c>
      <c r="V141" s="34" t="str">
        <f t="shared" si="74"/>
        <v/>
      </c>
      <c r="W141" s="34" t="str">
        <f t="shared" si="74"/>
        <v/>
      </c>
      <c r="X141" s="34" t="str">
        <f t="shared" si="74"/>
        <v/>
      </c>
      <c r="Y141" s="34"/>
      <c r="Z141" s="34"/>
      <c r="AA141" s="34" t="str">
        <f t="shared" si="84"/>
        <v/>
      </c>
      <c r="AB141" s="34" t="str">
        <f t="shared" si="84"/>
        <v/>
      </c>
      <c r="AC141" s="34" t="str">
        <f t="shared" si="84"/>
        <v/>
      </c>
      <c r="AD141" s="34" t="str">
        <f t="shared" si="84"/>
        <v/>
      </c>
      <c r="AE141" s="34" t="str">
        <f t="shared" si="84"/>
        <v/>
      </c>
      <c r="AF141" s="34"/>
      <c r="AG141" s="34"/>
      <c r="AH141" s="34" t="str">
        <f t="shared" si="69"/>
        <v/>
      </c>
      <c r="AI141" s="34" t="str">
        <f t="shared" si="69"/>
        <v/>
      </c>
      <c r="AJ141" s="34" t="str">
        <f t="shared" si="69"/>
        <v/>
      </c>
      <c r="AK141" s="34" t="str">
        <f t="shared" si="69"/>
        <v/>
      </c>
      <c r="AL141" s="34" t="str">
        <f t="shared" si="69"/>
        <v/>
      </c>
      <c r="AM141" s="34"/>
      <c r="AN141" s="34"/>
      <c r="AO141" s="34" t="str">
        <f t="shared" si="75"/>
        <v/>
      </c>
      <c r="AP141" s="34" t="str">
        <f t="shared" si="75"/>
        <v/>
      </c>
      <c r="AQ141" s="34" t="str">
        <f t="shared" si="75"/>
        <v/>
      </c>
      <c r="AR141" s="34" t="str">
        <f t="shared" si="75"/>
        <v/>
      </c>
      <c r="AS141" s="34" t="str">
        <f t="shared" si="75"/>
        <v/>
      </c>
      <c r="AT141" s="34"/>
      <c r="AU141" s="34"/>
      <c r="AV141" s="34" t="str">
        <f t="shared" si="76"/>
        <v/>
      </c>
      <c r="AW141" s="34" t="str">
        <f t="shared" si="76"/>
        <v/>
      </c>
      <c r="AX141" s="34" t="str">
        <f t="shared" si="76"/>
        <v/>
      </c>
      <c r="AY141" s="34" t="str">
        <f t="shared" si="76"/>
        <v/>
      </c>
      <c r="AZ141" s="34" t="str">
        <f t="shared" si="76"/>
        <v/>
      </c>
      <c r="BA141" s="34"/>
      <c r="BB141" s="34"/>
      <c r="BC141" s="34" t="str">
        <f t="shared" si="72"/>
        <v/>
      </c>
      <c r="BD141" s="34" t="str">
        <f t="shared" si="72"/>
        <v/>
      </c>
      <c r="BE141" s="34" t="str">
        <f t="shared" si="72"/>
        <v/>
      </c>
      <c r="BF141" s="34" t="str">
        <f t="shared" si="72"/>
        <v/>
      </c>
      <c r="BG141" s="34" t="str">
        <f t="shared" si="72"/>
        <v/>
      </c>
      <c r="BH141" s="34"/>
      <c r="BI141" s="34"/>
      <c r="BJ141" s="34"/>
      <c r="BK141" s="34"/>
      <c r="BL141" s="34"/>
      <c r="BM141" s="34"/>
      <c r="BN141" s="34"/>
      <c r="BO141" s="34"/>
      <c r="BP141" s="34"/>
    </row>
    <row r="142" spans="2:68" outlineLevel="1" x14ac:dyDescent="0.25">
      <c r="B142" s="32">
        <f t="shared" si="58"/>
        <v>133</v>
      </c>
      <c r="C142" s="33" t="s">
        <v>5</v>
      </c>
      <c r="D142" s="34" t="s">
        <v>51</v>
      </c>
      <c r="E142" s="34"/>
      <c r="F142" s="40"/>
      <c r="G142" s="33">
        <v>2</v>
      </c>
      <c r="H142" s="35">
        <f t="shared" si="73"/>
        <v>46428</v>
      </c>
      <c r="I142" s="35" cm="1">
        <f t="array" ref="I142">IF(G142&lt;&gt;"",WORKDAY(Start,Duration-1),IF(Type="M",WORKDAY(Start,Duration-1),""))</f>
        <v>46429</v>
      </c>
      <c r="J142" s="43"/>
      <c r="K142" s="47" t="s">
        <v>102</v>
      </c>
      <c r="L142" s="34"/>
      <c r="M142" s="36" t="str">
        <f t="shared" si="66"/>
        <v/>
      </c>
      <c r="N142" s="34" t="str">
        <f t="shared" si="66"/>
        <v/>
      </c>
      <c r="O142" s="34" t="str">
        <f t="shared" si="66"/>
        <v/>
      </c>
      <c r="P142" s="34" t="str">
        <f t="shared" si="66"/>
        <v/>
      </c>
      <c r="Q142" s="34" t="str">
        <f t="shared" si="66"/>
        <v/>
      </c>
      <c r="R142" s="34" t="str">
        <f t="shared" si="83"/>
        <v/>
      </c>
      <c r="S142" s="34" t="str">
        <f t="shared" si="83"/>
        <v/>
      </c>
      <c r="T142" s="34" t="str">
        <f t="shared" si="74"/>
        <v/>
      </c>
      <c r="U142" s="34" t="str">
        <f t="shared" si="74"/>
        <v/>
      </c>
      <c r="V142" s="34" t="str">
        <f t="shared" si="74"/>
        <v/>
      </c>
      <c r="W142" s="34" t="str">
        <f t="shared" si="74"/>
        <v/>
      </c>
      <c r="X142" s="34" t="str">
        <f t="shared" si="74"/>
        <v/>
      </c>
      <c r="Y142" s="34" t="str">
        <f t="shared" si="84"/>
        <v/>
      </c>
      <c r="Z142" s="34" t="str">
        <f t="shared" si="84"/>
        <v/>
      </c>
      <c r="AA142" s="34" t="str">
        <f t="shared" si="84"/>
        <v/>
      </c>
      <c r="AB142" s="34" t="str">
        <f t="shared" si="84"/>
        <v/>
      </c>
      <c r="AC142" s="34" t="str">
        <f t="shared" si="84"/>
        <v/>
      </c>
      <c r="AD142" s="34" t="str">
        <f t="shared" si="84"/>
        <v/>
      </c>
      <c r="AE142" s="34" t="str">
        <f t="shared" si="84"/>
        <v/>
      </c>
      <c r="AF142" s="34" t="str">
        <f t="shared" si="84"/>
        <v/>
      </c>
      <c r="AG142" s="34" t="str">
        <f t="shared" si="85"/>
        <v/>
      </c>
      <c r="AH142" s="34" t="str">
        <f t="shared" si="69"/>
        <v/>
      </c>
      <c r="AI142" s="34" t="str">
        <f t="shared" si="69"/>
        <v/>
      </c>
      <c r="AJ142" s="34" t="str">
        <f t="shared" si="69"/>
        <v/>
      </c>
      <c r="AK142" s="34" t="str">
        <f t="shared" si="69"/>
        <v/>
      </c>
      <c r="AL142" s="34" t="str">
        <f t="shared" si="69"/>
        <v/>
      </c>
      <c r="AM142" s="34" t="str">
        <f t="shared" si="85"/>
        <v/>
      </c>
      <c r="AN142" s="34" t="str">
        <f t="shared" si="85"/>
        <v/>
      </c>
      <c r="AO142" s="34" t="str">
        <f t="shared" si="75"/>
        <v/>
      </c>
      <c r="AP142" s="34" t="str">
        <f t="shared" si="75"/>
        <v/>
      </c>
      <c r="AQ142" s="34" t="str">
        <f t="shared" si="75"/>
        <v/>
      </c>
      <c r="AR142" s="34" t="str">
        <f t="shared" si="75"/>
        <v/>
      </c>
      <c r="AS142" s="34" t="str">
        <f t="shared" si="75"/>
        <v/>
      </c>
      <c r="AT142" s="34" t="str">
        <f t="shared" si="86"/>
        <v/>
      </c>
      <c r="AU142" s="34" t="str">
        <f t="shared" si="86"/>
        <v/>
      </c>
      <c r="AV142" s="34" t="str">
        <f t="shared" si="76"/>
        <v/>
      </c>
      <c r="AW142" s="34" t="str">
        <f t="shared" si="76"/>
        <v/>
      </c>
      <c r="AX142" s="34" t="str">
        <f t="shared" si="76"/>
        <v/>
      </c>
      <c r="AY142" s="34" t="str">
        <f t="shared" si="76"/>
        <v/>
      </c>
      <c r="AZ142" s="34" t="str">
        <f t="shared" si="76"/>
        <v/>
      </c>
      <c r="BA142" s="34" t="str">
        <f t="shared" si="87"/>
        <v/>
      </c>
      <c r="BB142" s="34" t="str">
        <f t="shared" si="87"/>
        <v/>
      </c>
      <c r="BC142" s="34" t="str">
        <f t="shared" si="72"/>
        <v/>
      </c>
      <c r="BD142" s="34" t="str">
        <f t="shared" si="72"/>
        <v/>
      </c>
      <c r="BE142" s="34" t="str">
        <f t="shared" si="72"/>
        <v/>
      </c>
      <c r="BF142" s="34" t="str">
        <f t="shared" si="72"/>
        <v/>
      </c>
      <c r="BG142" s="34" t="str">
        <f t="shared" si="72"/>
        <v/>
      </c>
      <c r="BH142" s="34" t="str">
        <f t="shared" si="87"/>
        <v/>
      </c>
      <c r="BI142" s="34" t="str">
        <f t="shared" si="87"/>
        <v/>
      </c>
      <c r="BJ142" s="34" t="str">
        <f t="shared" si="87"/>
        <v/>
      </c>
      <c r="BK142" s="34" t="str">
        <f t="shared" si="88"/>
        <v/>
      </c>
      <c r="BL142" s="34" t="str">
        <f t="shared" si="88"/>
        <v/>
      </c>
      <c r="BM142" s="34" t="str">
        <f t="shared" si="88"/>
        <v/>
      </c>
      <c r="BN142" s="34" t="str">
        <f t="shared" si="88"/>
        <v/>
      </c>
      <c r="BO142" s="34" t="str">
        <f t="shared" si="88"/>
        <v/>
      </c>
      <c r="BP142" s="34" t="str">
        <f t="shared" si="88"/>
        <v/>
      </c>
    </row>
    <row r="143" spans="2:68" outlineLevel="1" x14ac:dyDescent="0.25">
      <c r="B143" s="32">
        <f t="shared" si="58"/>
        <v>134</v>
      </c>
      <c r="C143" s="33" t="s">
        <v>5</v>
      </c>
      <c r="D143" s="34" t="s">
        <v>52</v>
      </c>
      <c r="E143" s="34"/>
      <c r="F143" s="40"/>
      <c r="G143" s="33">
        <v>2</v>
      </c>
      <c r="H143" s="35">
        <f t="shared" si="73"/>
        <v>46430</v>
      </c>
      <c r="I143" s="35" cm="1">
        <f t="array" ref="I143">IF(G143&lt;&gt;"",WORKDAY(Start,Duration-1),IF(Type="M",WORKDAY(Start,Duration-1),""))</f>
        <v>46433</v>
      </c>
      <c r="J143" s="43"/>
      <c r="K143" s="47" t="s">
        <v>102</v>
      </c>
      <c r="L143" s="34" t="s">
        <v>82</v>
      </c>
      <c r="M143" s="36" t="str">
        <f t="shared" si="66"/>
        <v/>
      </c>
      <c r="N143" s="34" t="str">
        <f t="shared" si="66"/>
        <v/>
      </c>
      <c r="O143" s="34" t="str">
        <f t="shared" si="66"/>
        <v/>
      </c>
      <c r="P143" s="34" t="str">
        <f t="shared" si="66"/>
        <v/>
      </c>
      <c r="Q143" s="34" t="str">
        <f t="shared" si="66"/>
        <v/>
      </c>
      <c r="R143" s="34" t="str">
        <f t="shared" si="83"/>
        <v/>
      </c>
      <c r="S143" s="34" t="str">
        <f t="shared" si="83"/>
        <v/>
      </c>
      <c r="T143" s="34" t="str">
        <f t="shared" si="74"/>
        <v/>
      </c>
      <c r="U143" s="34" t="str">
        <f t="shared" si="74"/>
        <v/>
      </c>
      <c r="V143" s="34" t="str">
        <f t="shared" si="74"/>
        <v/>
      </c>
      <c r="W143" s="34" t="str">
        <f t="shared" si="74"/>
        <v/>
      </c>
      <c r="X143" s="34" t="str">
        <f t="shared" si="74"/>
        <v/>
      </c>
      <c r="Y143" s="34" t="str">
        <f t="shared" si="84"/>
        <v/>
      </c>
      <c r="Z143" s="34" t="str">
        <f t="shared" si="84"/>
        <v/>
      </c>
      <c r="AA143" s="34" t="str">
        <f t="shared" si="84"/>
        <v/>
      </c>
      <c r="AB143" s="34" t="str">
        <f t="shared" si="84"/>
        <v/>
      </c>
      <c r="AC143" s="34" t="str">
        <f t="shared" si="84"/>
        <v/>
      </c>
      <c r="AD143" s="34" t="str">
        <f t="shared" si="84"/>
        <v/>
      </c>
      <c r="AE143" s="34" t="str">
        <f t="shared" si="84"/>
        <v/>
      </c>
      <c r="AF143" s="34" t="str">
        <f t="shared" si="84"/>
        <v/>
      </c>
      <c r="AG143" s="34" t="str">
        <f t="shared" si="85"/>
        <v/>
      </c>
      <c r="AH143" s="34" t="str">
        <f t="shared" si="69"/>
        <v/>
      </c>
      <c r="AI143" s="34" t="str">
        <f t="shared" si="69"/>
        <v/>
      </c>
      <c r="AJ143" s="34" t="str">
        <f t="shared" si="69"/>
        <v/>
      </c>
      <c r="AK143" s="34" t="str">
        <f t="shared" si="69"/>
        <v/>
      </c>
      <c r="AL143" s="34" t="str">
        <f t="shared" si="69"/>
        <v/>
      </c>
      <c r="AM143" s="34" t="str">
        <f t="shared" si="85"/>
        <v/>
      </c>
      <c r="AN143" s="34" t="str">
        <f t="shared" si="85"/>
        <v/>
      </c>
      <c r="AO143" s="34" t="str">
        <f t="shared" si="75"/>
        <v/>
      </c>
      <c r="AP143" s="34" t="str">
        <f t="shared" si="75"/>
        <v/>
      </c>
      <c r="AQ143" s="34" t="str">
        <f t="shared" si="75"/>
        <v/>
      </c>
      <c r="AR143" s="34" t="str">
        <f t="shared" si="75"/>
        <v/>
      </c>
      <c r="AS143" s="34" t="str">
        <f t="shared" si="75"/>
        <v/>
      </c>
      <c r="AT143" s="34" t="str">
        <f t="shared" si="86"/>
        <v/>
      </c>
      <c r="AU143" s="34" t="str">
        <f t="shared" si="86"/>
        <v/>
      </c>
      <c r="AV143" s="34" t="str">
        <f t="shared" si="76"/>
        <v/>
      </c>
      <c r="AW143" s="34" t="str">
        <f t="shared" si="76"/>
        <v/>
      </c>
      <c r="AX143" s="34" t="str">
        <f t="shared" si="76"/>
        <v/>
      </c>
      <c r="AY143" s="34" t="str">
        <f t="shared" si="76"/>
        <v/>
      </c>
      <c r="AZ143" s="34" t="str">
        <f t="shared" si="76"/>
        <v/>
      </c>
      <c r="BA143" s="34" t="str">
        <f t="shared" si="87"/>
        <v/>
      </c>
      <c r="BB143" s="34" t="str">
        <f t="shared" si="87"/>
        <v/>
      </c>
      <c r="BC143" s="34" t="str">
        <f t="shared" si="72"/>
        <v/>
      </c>
      <c r="BD143" s="34" t="str">
        <f t="shared" si="72"/>
        <v/>
      </c>
      <c r="BE143" s="34" t="str">
        <f t="shared" si="72"/>
        <v/>
      </c>
      <c r="BF143" s="34" t="str">
        <f t="shared" si="72"/>
        <v/>
      </c>
      <c r="BG143" s="34" t="str">
        <f t="shared" si="72"/>
        <v/>
      </c>
      <c r="BH143" s="34" t="str">
        <f t="shared" si="87"/>
        <v/>
      </c>
      <c r="BI143" s="34" t="str">
        <f t="shared" si="87"/>
        <v/>
      </c>
      <c r="BJ143" s="34" t="str">
        <f t="shared" si="87"/>
        <v/>
      </c>
      <c r="BK143" s="34" t="str">
        <f t="shared" si="88"/>
        <v/>
      </c>
      <c r="BL143" s="34" t="str">
        <f t="shared" si="88"/>
        <v/>
      </c>
      <c r="BM143" s="34" t="str">
        <f t="shared" si="88"/>
        <v/>
      </c>
      <c r="BN143" s="34" t="str">
        <f t="shared" si="88"/>
        <v/>
      </c>
      <c r="BO143" s="34" t="str">
        <f t="shared" si="88"/>
        <v/>
      </c>
      <c r="BP143" s="34" t="str">
        <f t="shared" si="88"/>
        <v/>
      </c>
    </row>
    <row r="144" spans="2:68" outlineLevel="1" x14ac:dyDescent="0.25">
      <c r="B144" s="32">
        <f t="shared" si="58"/>
        <v>135</v>
      </c>
      <c r="C144" s="33" t="s">
        <v>5</v>
      </c>
      <c r="D144" s="34" t="s">
        <v>83</v>
      </c>
      <c r="E144" s="34"/>
      <c r="F144" s="40"/>
      <c r="G144" s="33">
        <v>2</v>
      </c>
      <c r="H144" s="35">
        <f t="shared" si="73"/>
        <v>46434</v>
      </c>
      <c r="I144" s="35" cm="1">
        <f t="array" ref="I144">IF(G144&lt;&gt;"",WORKDAY(Start,Duration-1),IF(Type="M",WORKDAY(Start,Duration-1),""))</f>
        <v>46435</v>
      </c>
      <c r="J144" s="43"/>
      <c r="K144" s="47" t="s">
        <v>102</v>
      </c>
      <c r="L144" s="34"/>
      <c r="M144" s="36" t="str">
        <f t="shared" ref="M144:Q151" si="89">IF(AND(Type="M",Start=Date),"◆","")</f>
        <v/>
      </c>
      <c r="N144" s="34" t="str">
        <f t="shared" si="89"/>
        <v/>
      </c>
      <c r="O144" s="34" t="str">
        <f t="shared" si="89"/>
        <v/>
      </c>
      <c r="P144" s="34" t="str">
        <f t="shared" si="89"/>
        <v/>
      </c>
      <c r="Q144" s="34" t="str">
        <f t="shared" si="89"/>
        <v/>
      </c>
      <c r="R144" s="34"/>
      <c r="S144" s="34"/>
      <c r="T144" s="34" t="str">
        <f t="shared" si="74"/>
        <v/>
      </c>
      <c r="U144" s="34" t="str">
        <f t="shared" si="74"/>
        <v/>
      </c>
      <c r="V144" s="34" t="str">
        <f t="shared" si="74"/>
        <v/>
      </c>
      <c r="W144" s="34" t="str">
        <f t="shared" si="74"/>
        <v/>
      </c>
      <c r="X144" s="34" t="str">
        <f t="shared" si="74"/>
        <v/>
      </c>
      <c r="Y144" s="34"/>
      <c r="Z144" s="34"/>
      <c r="AA144" s="34" t="str">
        <f t="shared" si="84"/>
        <v/>
      </c>
      <c r="AB144" s="34" t="str">
        <f t="shared" si="84"/>
        <v/>
      </c>
      <c r="AC144" s="34" t="str">
        <f t="shared" si="84"/>
        <v/>
      </c>
      <c r="AD144" s="34" t="str">
        <f t="shared" si="84"/>
        <v/>
      </c>
      <c r="AE144" s="34" t="str">
        <f t="shared" si="84"/>
        <v/>
      </c>
      <c r="AF144" s="34"/>
      <c r="AG144" s="34"/>
      <c r="AH144" s="34" t="str">
        <f t="shared" si="69"/>
        <v/>
      </c>
      <c r="AI144" s="34" t="str">
        <f t="shared" si="69"/>
        <v/>
      </c>
      <c r="AJ144" s="34" t="str">
        <f t="shared" si="69"/>
        <v/>
      </c>
      <c r="AK144" s="34" t="str">
        <f t="shared" si="69"/>
        <v/>
      </c>
      <c r="AL144" s="34" t="str">
        <f t="shared" si="69"/>
        <v/>
      </c>
      <c r="AM144" s="34"/>
      <c r="AN144" s="34"/>
      <c r="AO144" s="34" t="str">
        <f t="shared" si="75"/>
        <v/>
      </c>
      <c r="AP144" s="34" t="str">
        <f t="shared" si="75"/>
        <v/>
      </c>
      <c r="AQ144" s="34" t="str">
        <f t="shared" si="75"/>
        <v/>
      </c>
      <c r="AR144" s="34" t="str">
        <f t="shared" si="75"/>
        <v/>
      </c>
      <c r="AS144" s="34" t="str">
        <f t="shared" si="75"/>
        <v/>
      </c>
      <c r="AT144" s="34"/>
      <c r="AU144" s="34"/>
      <c r="AV144" s="34" t="str">
        <f t="shared" si="76"/>
        <v/>
      </c>
      <c r="AW144" s="34" t="str">
        <f t="shared" si="76"/>
        <v/>
      </c>
      <c r="AX144" s="34" t="str">
        <f t="shared" si="76"/>
        <v/>
      </c>
      <c r="AY144" s="34" t="str">
        <f t="shared" si="76"/>
        <v/>
      </c>
      <c r="AZ144" s="34" t="str">
        <f t="shared" si="76"/>
        <v/>
      </c>
      <c r="BA144" s="34"/>
      <c r="BB144" s="34"/>
      <c r="BC144" s="34" t="str">
        <f t="shared" si="72"/>
        <v/>
      </c>
      <c r="BD144" s="34" t="str">
        <f t="shared" si="72"/>
        <v/>
      </c>
      <c r="BE144" s="34" t="str">
        <f t="shared" si="72"/>
        <v/>
      </c>
      <c r="BF144" s="34" t="str">
        <f t="shared" si="72"/>
        <v/>
      </c>
      <c r="BG144" s="34" t="str">
        <f t="shared" si="72"/>
        <v/>
      </c>
      <c r="BH144" s="34"/>
      <c r="BI144" s="34"/>
      <c r="BJ144" s="34"/>
      <c r="BK144" s="34"/>
      <c r="BL144" s="34"/>
      <c r="BM144" s="34"/>
      <c r="BN144" s="34"/>
      <c r="BO144" s="34"/>
      <c r="BP144" s="34"/>
    </row>
    <row r="145" spans="2:68" outlineLevel="1" x14ac:dyDescent="0.25">
      <c r="B145" s="32">
        <f t="shared" si="58"/>
        <v>136</v>
      </c>
      <c r="C145" s="33" t="s">
        <v>5</v>
      </c>
      <c r="D145" s="34" t="s">
        <v>85</v>
      </c>
      <c r="E145" s="34"/>
      <c r="F145" s="40"/>
      <c r="G145" s="33">
        <v>3</v>
      </c>
      <c r="H145" s="35">
        <f t="shared" si="73"/>
        <v>46436</v>
      </c>
      <c r="I145" s="35" cm="1">
        <f t="array" ref="I145">IF(G145&lt;&gt;"",WORKDAY(Start,Duration-1),IF(Type="M",WORKDAY(Start,Duration-1),""))</f>
        <v>46440</v>
      </c>
      <c r="J145" s="43"/>
      <c r="K145" s="47" t="s">
        <v>102</v>
      </c>
      <c r="L145" s="34"/>
      <c r="M145" s="36" t="str">
        <f t="shared" si="89"/>
        <v/>
      </c>
      <c r="N145" s="34" t="str">
        <f t="shared" si="89"/>
        <v/>
      </c>
      <c r="O145" s="34" t="str">
        <f t="shared" si="89"/>
        <v/>
      </c>
      <c r="P145" s="34" t="str">
        <f t="shared" si="89"/>
        <v/>
      </c>
      <c r="Q145" s="34" t="str">
        <f t="shared" si="89"/>
        <v/>
      </c>
      <c r="R145" s="34"/>
      <c r="S145" s="34"/>
      <c r="T145" s="34" t="str">
        <f t="shared" si="74"/>
        <v/>
      </c>
      <c r="U145" s="34" t="str">
        <f t="shared" si="74"/>
        <v/>
      </c>
      <c r="V145" s="34" t="str">
        <f t="shared" si="74"/>
        <v/>
      </c>
      <c r="W145" s="34" t="str">
        <f t="shared" si="74"/>
        <v/>
      </c>
      <c r="X145" s="34" t="str">
        <f t="shared" si="74"/>
        <v/>
      </c>
      <c r="Y145" s="34"/>
      <c r="Z145" s="34"/>
      <c r="AA145" s="34" t="str">
        <f t="shared" si="84"/>
        <v/>
      </c>
      <c r="AB145" s="34" t="str">
        <f t="shared" si="84"/>
        <v/>
      </c>
      <c r="AC145" s="34" t="str">
        <f t="shared" si="84"/>
        <v/>
      </c>
      <c r="AD145" s="34" t="str">
        <f t="shared" si="84"/>
        <v/>
      </c>
      <c r="AE145" s="34" t="str">
        <f t="shared" si="84"/>
        <v/>
      </c>
      <c r="AF145" s="34"/>
      <c r="AG145" s="34"/>
      <c r="AH145" s="34" t="str">
        <f t="shared" si="69"/>
        <v/>
      </c>
      <c r="AI145" s="34" t="str">
        <f t="shared" si="69"/>
        <v/>
      </c>
      <c r="AJ145" s="34" t="str">
        <f t="shared" si="69"/>
        <v/>
      </c>
      <c r="AK145" s="34" t="str">
        <f t="shared" si="69"/>
        <v/>
      </c>
      <c r="AL145" s="34" t="str">
        <f t="shared" si="69"/>
        <v/>
      </c>
      <c r="AM145" s="34"/>
      <c r="AN145" s="34"/>
      <c r="AO145" s="34" t="str">
        <f t="shared" si="75"/>
        <v/>
      </c>
      <c r="AP145" s="34" t="str">
        <f t="shared" si="75"/>
        <v/>
      </c>
      <c r="AQ145" s="34" t="str">
        <f t="shared" si="75"/>
        <v/>
      </c>
      <c r="AR145" s="34" t="str">
        <f t="shared" si="75"/>
        <v/>
      </c>
      <c r="AS145" s="34" t="str">
        <f t="shared" si="75"/>
        <v/>
      </c>
      <c r="AT145" s="34"/>
      <c r="AU145" s="34"/>
      <c r="AV145" s="34" t="str">
        <f t="shared" si="76"/>
        <v/>
      </c>
      <c r="AW145" s="34" t="str">
        <f t="shared" si="76"/>
        <v/>
      </c>
      <c r="AX145" s="34" t="str">
        <f t="shared" si="76"/>
        <v/>
      </c>
      <c r="AY145" s="34" t="str">
        <f t="shared" si="76"/>
        <v/>
      </c>
      <c r="AZ145" s="34" t="str">
        <f t="shared" si="76"/>
        <v/>
      </c>
      <c r="BA145" s="34"/>
      <c r="BB145" s="34"/>
      <c r="BC145" s="34" t="str">
        <f t="shared" si="72"/>
        <v/>
      </c>
      <c r="BD145" s="34" t="str">
        <f t="shared" si="72"/>
        <v/>
      </c>
      <c r="BE145" s="34" t="str">
        <f t="shared" si="72"/>
        <v/>
      </c>
      <c r="BF145" s="34" t="str">
        <f t="shared" si="72"/>
        <v/>
      </c>
      <c r="BG145" s="34" t="str">
        <f t="shared" si="72"/>
        <v/>
      </c>
      <c r="BH145" s="34"/>
      <c r="BI145" s="34"/>
      <c r="BJ145" s="34"/>
      <c r="BK145" s="34"/>
      <c r="BL145" s="34"/>
      <c r="BM145" s="34"/>
      <c r="BN145" s="34"/>
      <c r="BO145" s="34"/>
      <c r="BP145" s="34"/>
    </row>
    <row r="146" spans="2:68" outlineLevel="1" x14ac:dyDescent="0.25">
      <c r="B146" s="32">
        <f t="shared" si="58"/>
        <v>137</v>
      </c>
      <c r="C146" s="33" t="s">
        <v>5</v>
      </c>
      <c r="D146" s="34" t="s">
        <v>49</v>
      </c>
      <c r="E146" s="34"/>
      <c r="F146" s="40"/>
      <c r="G146" s="33">
        <v>2</v>
      </c>
      <c r="H146" s="35">
        <f t="shared" si="73"/>
        <v>46441</v>
      </c>
      <c r="I146" s="35" cm="1">
        <f t="array" ref="I146">IF(G146&lt;&gt;"",WORKDAY(Start,Duration-1),IF(Type="M",WORKDAY(Start,Duration-1),""))</f>
        <v>46442</v>
      </c>
      <c r="J146" s="43"/>
      <c r="K146" s="47" t="s">
        <v>102</v>
      </c>
      <c r="L146" s="34"/>
      <c r="M146" s="36" t="str">
        <f t="shared" si="89"/>
        <v/>
      </c>
      <c r="N146" s="34" t="str">
        <f t="shared" si="89"/>
        <v/>
      </c>
      <c r="O146" s="34" t="str">
        <f t="shared" si="89"/>
        <v/>
      </c>
      <c r="P146" s="34" t="str">
        <f t="shared" si="89"/>
        <v/>
      </c>
      <c r="Q146" s="34" t="str">
        <f t="shared" si="89"/>
        <v/>
      </c>
      <c r="R146" s="34" t="str">
        <f t="shared" si="83"/>
        <v/>
      </c>
      <c r="S146" s="34" t="str">
        <f t="shared" si="83"/>
        <v/>
      </c>
      <c r="T146" s="34" t="str">
        <f t="shared" si="74"/>
        <v/>
      </c>
      <c r="U146" s="34" t="str">
        <f t="shared" si="74"/>
        <v/>
      </c>
      <c r="V146" s="34" t="str">
        <f t="shared" si="74"/>
        <v/>
      </c>
      <c r="W146" s="34" t="str">
        <f t="shared" si="74"/>
        <v/>
      </c>
      <c r="X146" s="34" t="str">
        <f t="shared" si="74"/>
        <v/>
      </c>
      <c r="Y146" s="34" t="str">
        <f t="shared" si="84"/>
        <v/>
      </c>
      <c r="Z146" s="34" t="str">
        <f t="shared" si="84"/>
        <v/>
      </c>
      <c r="AA146" s="34" t="str">
        <f t="shared" si="84"/>
        <v/>
      </c>
      <c r="AB146" s="34" t="str">
        <f t="shared" si="84"/>
        <v/>
      </c>
      <c r="AC146" s="34" t="str">
        <f t="shared" si="84"/>
        <v/>
      </c>
      <c r="AD146" s="34" t="str">
        <f t="shared" si="84"/>
        <v/>
      </c>
      <c r="AE146" s="34" t="str">
        <f t="shared" si="84"/>
        <v/>
      </c>
      <c r="AF146" s="34" t="str">
        <f t="shared" si="84"/>
        <v/>
      </c>
      <c r="AG146" s="34" t="str">
        <f t="shared" si="85"/>
        <v/>
      </c>
      <c r="AH146" s="34" t="str">
        <f t="shared" si="69"/>
        <v/>
      </c>
      <c r="AI146" s="34" t="str">
        <f t="shared" si="69"/>
        <v/>
      </c>
      <c r="AJ146" s="34" t="str">
        <f t="shared" si="69"/>
        <v/>
      </c>
      <c r="AK146" s="34" t="str">
        <f t="shared" si="69"/>
        <v/>
      </c>
      <c r="AL146" s="34" t="str">
        <f t="shared" si="69"/>
        <v/>
      </c>
      <c r="AM146" s="34" t="str">
        <f t="shared" si="85"/>
        <v/>
      </c>
      <c r="AN146" s="34" t="str">
        <f t="shared" si="85"/>
        <v/>
      </c>
      <c r="AO146" s="34" t="str">
        <f t="shared" si="75"/>
        <v/>
      </c>
      <c r="AP146" s="34" t="str">
        <f t="shared" si="75"/>
        <v/>
      </c>
      <c r="AQ146" s="34" t="str">
        <f t="shared" si="75"/>
        <v/>
      </c>
      <c r="AR146" s="34" t="str">
        <f t="shared" si="75"/>
        <v/>
      </c>
      <c r="AS146" s="34" t="str">
        <f t="shared" si="75"/>
        <v/>
      </c>
      <c r="AT146" s="34" t="str">
        <f t="shared" si="86"/>
        <v/>
      </c>
      <c r="AU146" s="34" t="str">
        <f t="shared" si="86"/>
        <v/>
      </c>
      <c r="AV146" s="34" t="str">
        <f t="shared" si="76"/>
        <v/>
      </c>
      <c r="AW146" s="34" t="str">
        <f t="shared" si="76"/>
        <v/>
      </c>
      <c r="AX146" s="34" t="str">
        <f t="shared" si="76"/>
        <v/>
      </c>
      <c r="AY146" s="34" t="str">
        <f t="shared" si="76"/>
        <v/>
      </c>
      <c r="AZ146" s="34" t="str">
        <f t="shared" si="76"/>
        <v/>
      </c>
      <c r="BA146" s="34" t="str">
        <f t="shared" si="87"/>
        <v/>
      </c>
      <c r="BB146" s="34" t="str">
        <f t="shared" si="87"/>
        <v/>
      </c>
      <c r="BC146" s="34" t="str">
        <f t="shared" si="72"/>
        <v/>
      </c>
      <c r="BD146" s="34" t="str">
        <f t="shared" si="72"/>
        <v/>
      </c>
      <c r="BE146" s="34" t="str">
        <f t="shared" si="72"/>
        <v/>
      </c>
      <c r="BF146" s="34" t="str">
        <f t="shared" si="72"/>
        <v/>
      </c>
      <c r="BG146" s="34" t="str">
        <f t="shared" si="72"/>
        <v/>
      </c>
      <c r="BH146" s="34" t="str">
        <f t="shared" si="87"/>
        <v/>
      </c>
      <c r="BI146" s="34" t="str">
        <f t="shared" si="87"/>
        <v/>
      </c>
      <c r="BJ146" s="34" t="str">
        <f t="shared" si="87"/>
        <v/>
      </c>
      <c r="BK146" s="34" t="str">
        <f t="shared" si="88"/>
        <v/>
      </c>
      <c r="BL146" s="34" t="str">
        <f t="shared" si="88"/>
        <v/>
      </c>
      <c r="BM146" s="34" t="str">
        <f t="shared" si="88"/>
        <v/>
      </c>
      <c r="BN146" s="34" t="str">
        <f t="shared" si="88"/>
        <v/>
      </c>
      <c r="BO146" s="34" t="str">
        <f t="shared" si="88"/>
        <v/>
      </c>
      <c r="BP146" s="34" t="str">
        <f t="shared" si="88"/>
        <v/>
      </c>
    </row>
    <row r="147" spans="2:68" outlineLevel="1" x14ac:dyDescent="0.25">
      <c r="B147" s="32">
        <f t="shared" si="58"/>
        <v>138</v>
      </c>
      <c r="C147" s="33" t="s">
        <v>5</v>
      </c>
      <c r="D147" s="34" t="s">
        <v>491</v>
      </c>
      <c r="E147" s="34"/>
      <c r="F147" s="40"/>
      <c r="G147" s="33">
        <v>5</v>
      </c>
      <c r="H147" s="35">
        <f t="shared" si="73"/>
        <v>46443</v>
      </c>
      <c r="I147" s="35" cm="1">
        <f t="array" ref="I147">IF(G147&lt;&gt;"",WORKDAY(Start,Duration-1),IF(Type="M",WORKDAY(Start,Duration-1),""))</f>
        <v>46449</v>
      </c>
      <c r="J147" s="43"/>
      <c r="K147" s="47" t="s">
        <v>102</v>
      </c>
      <c r="L147" s="34"/>
      <c r="M147" s="36" t="str">
        <f t="shared" si="89"/>
        <v/>
      </c>
      <c r="N147" s="34" t="str">
        <f t="shared" si="89"/>
        <v/>
      </c>
      <c r="O147" s="34" t="str">
        <f t="shared" si="89"/>
        <v/>
      </c>
      <c r="P147" s="34" t="str">
        <f t="shared" si="89"/>
        <v/>
      </c>
      <c r="Q147" s="34" t="str">
        <f t="shared" si="89"/>
        <v/>
      </c>
      <c r="R147" s="34" t="str">
        <f t="shared" ref="M147:V163" si="90">IF(AND(Type="M",Start=Date),"◆","")</f>
        <v/>
      </c>
      <c r="S147" s="34" t="str">
        <f t="shared" si="90"/>
        <v/>
      </c>
      <c r="T147" s="34" t="str">
        <f t="shared" si="74"/>
        <v/>
      </c>
      <c r="U147" s="34" t="str">
        <f t="shared" si="74"/>
        <v/>
      </c>
      <c r="V147" s="34" t="str">
        <f t="shared" si="74"/>
        <v/>
      </c>
      <c r="W147" s="34" t="str">
        <f t="shared" si="74"/>
        <v/>
      </c>
      <c r="X147" s="34" t="str">
        <f t="shared" si="74"/>
        <v/>
      </c>
      <c r="Y147" s="34" t="str">
        <f t="shared" ref="W147:AF163" si="91">IF(AND(Type="M",Start=Date),"◆","")</f>
        <v/>
      </c>
      <c r="Z147" s="34" t="str">
        <f t="shared" si="91"/>
        <v/>
      </c>
      <c r="AA147" s="34" t="str">
        <f t="shared" si="91"/>
        <v/>
      </c>
      <c r="AB147" s="34" t="str">
        <f t="shared" si="91"/>
        <v/>
      </c>
      <c r="AC147" s="34" t="str">
        <f t="shared" si="91"/>
        <v/>
      </c>
      <c r="AD147" s="34" t="str">
        <f t="shared" si="91"/>
        <v/>
      </c>
      <c r="AE147" s="34" t="str">
        <f t="shared" si="91"/>
        <v/>
      </c>
      <c r="AF147" s="34" t="str">
        <f t="shared" si="91"/>
        <v/>
      </c>
      <c r="AG147" s="34" t="str">
        <f t="shared" ref="AG147:AP163" si="92">IF(AND(Type="M",Start=Date),"◆","")</f>
        <v/>
      </c>
      <c r="AH147" s="34" t="str">
        <f t="shared" si="69"/>
        <v/>
      </c>
      <c r="AI147" s="34" t="str">
        <f t="shared" si="69"/>
        <v/>
      </c>
      <c r="AJ147" s="34" t="str">
        <f t="shared" si="69"/>
        <v/>
      </c>
      <c r="AK147" s="34" t="str">
        <f t="shared" si="69"/>
        <v/>
      </c>
      <c r="AL147" s="34" t="str">
        <f t="shared" si="69"/>
        <v/>
      </c>
      <c r="AM147" s="34" t="str">
        <f t="shared" si="92"/>
        <v/>
      </c>
      <c r="AN147" s="34" t="str">
        <f t="shared" si="92"/>
        <v/>
      </c>
      <c r="AO147" s="34" t="str">
        <f t="shared" si="75"/>
        <v/>
      </c>
      <c r="AP147" s="34" t="str">
        <f t="shared" si="75"/>
        <v/>
      </c>
      <c r="AQ147" s="34" t="str">
        <f t="shared" si="75"/>
        <v/>
      </c>
      <c r="AR147" s="34" t="str">
        <f t="shared" si="75"/>
        <v/>
      </c>
      <c r="AS147" s="34" t="str">
        <f t="shared" si="75"/>
        <v/>
      </c>
      <c r="AT147" s="34" t="str">
        <f t="shared" ref="AQ147:AZ163" si="93">IF(AND(Type="M",Start=Date),"◆","")</f>
        <v/>
      </c>
      <c r="AU147" s="34" t="str">
        <f t="shared" si="93"/>
        <v/>
      </c>
      <c r="AV147" s="34" t="str">
        <f t="shared" si="76"/>
        <v/>
      </c>
      <c r="AW147" s="34" t="str">
        <f t="shared" si="76"/>
        <v/>
      </c>
      <c r="AX147" s="34" t="str">
        <f t="shared" si="76"/>
        <v/>
      </c>
      <c r="AY147" s="34" t="str">
        <f t="shared" si="76"/>
        <v/>
      </c>
      <c r="AZ147" s="34" t="str">
        <f t="shared" si="76"/>
        <v/>
      </c>
      <c r="BA147" s="34" t="str">
        <f t="shared" ref="BA147:BJ163" si="94">IF(AND(Type="M",Start=Date),"◆","")</f>
        <v/>
      </c>
      <c r="BB147" s="34" t="str">
        <f t="shared" si="94"/>
        <v/>
      </c>
      <c r="BC147" s="34" t="str">
        <f t="shared" si="72"/>
        <v/>
      </c>
      <c r="BD147" s="34" t="str">
        <f t="shared" si="72"/>
        <v/>
      </c>
      <c r="BE147" s="34" t="str">
        <f t="shared" si="72"/>
        <v/>
      </c>
      <c r="BF147" s="34" t="str">
        <f t="shared" si="72"/>
        <v/>
      </c>
      <c r="BG147" s="34" t="str">
        <f t="shared" si="72"/>
        <v/>
      </c>
      <c r="BH147" s="34" t="str">
        <f t="shared" si="94"/>
        <v/>
      </c>
      <c r="BI147" s="34" t="str">
        <f t="shared" si="94"/>
        <v/>
      </c>
      <c r="BJ147" s="34" t="str">
        <f t="shared" si="94"/>
        <v/>
      </c>
      <c r="BK147" s="34" t="str">
        <f t="shared" ref="BK147:BP163" si="95">IF(AND(Type="M",Start=Date),"◆","")</f>
        <v/>
      </c>
      <c r="BL147" s="34" t="str">
        <f t="shared" si="95"/>
        <v/>
      </c>
      <c r="BM147" s="34" t="str">
        <f t="shared" si="95"/>
        <v/>
      </c>
      <c r="BN147" s="34" t="str">
        <f t="shared" si="95"/>
        <v/>
      </c>
      <c r="BO147" s="34" t="str">
        <f t="shared" si="95"/>
        <v/>
      </c>
      <c r="BP147" s="34" t="str">
        <f t="shared" si="95"/>
        <v/>
      </c>
    </row>
    <row r="148" spans="2:68" outlineLevel="1" x14ac:dyDescent="0.25">
      <c r="B148" s="32">
        <f t="shared" si="58"/>
        <v>139</v>
      </c>
      <c r="C148" s="33" t="s">
        <v>5</v>
      </c>
      <c r="D148" s="34" t="s">
        <v>50</v>
      </c>
      <c r="E148" s="34"/>
      <c r="F148" s="40"/>
      <c r="G148" s="33">
        <v>3</v>
      </c>
      <c r="H148" s="35">
        <f t="shared" si="73"/>
        <v>46450</v>
      </c>
      <c r="I148" s="35" cm="1">
        <f t="array" ref="I148">IF(G148&lt;&gt;"",WORKDAY(Start,Duration-1),IF(Type="M",WORKDAY(Start,Duration-1),""))</f>
        <v>46454</v>
      </c>
      <c r="J148" s="43"/>
      <c r="K148" s="47" t="s">
        <v>102</v>
      </c>
      <c r="L148" s="34"/>
      <c r="M148" s="36" t="str">
        <f t="shared" si="89"/>
        <v/>
      </c>
      <c r="N148" s="34" t="str">
        <f t="shared" si="89"/>
        <v/>
      </c>
      <c r="O148" s="34" t="str">
        <f t="shared" si="89"/>
        <v/>
      </c>
      <c r="P148" s="34" t="str">
        <f t="shared" si="89"/>
        <v/>
      </c>
      <c r="Q148" s="34" t="str">
        <f t="shared" si="89"/>
        <v/>
      </c>
      <c r="R148" s="34" t="str">
        <f t="shared" si="90"/>
        <v/>
      </c>
      <c r="S148" s="34" t="str">
        <f t="shared" si="90"/>
        <v/>
      </c>
      <c r="T148" s="34" t="str">
        <f t="shared" si="74"/>
        <v/>
      </c>
      <c r="U148" s="34" t="str">
        <f t="shared" si="74"/>
        <v/>
      </c>
      <c r="V148" s="34" t="str">
        <f t="shared" si="74"/>
        <v/>
      </c>
      <c r="W148" s="34" t="str">
        <f t="shared" si="74"/>
        <v/>
      </c>
      <c r="X148" s="34" t="str">
        <f t="shared" si="74"/>
        <v/>
      </c>
      <c r="Y148" s="34" t="str">
        <f t="shared" si="91"/>
        <v/>
      </c>
      <c r="Z148" s="34" t="str">
        <f t="shared" si="91"/>
        <v/>
      </c>
      <c r="AA148" s="34" t="str">
        <f t="shared" si="91"/>
        <v/>
      </c>
      <c r="AB148" s="34" t="str">
        <f t="shared" si="91"/>
        <v/>
      </c>
      <c r="AC148" s="34" t="str">
        <f t="shared" si="91"/>
        <v/>
      </c>
      <c r="AD148" s="34" t="str">
        <f t="shared" si="91"/>
        <v/>
      </c>
      <c r="AE148" s="34" t="str">
        <f t="shared" si="91"/>
        <v/>
      </c>
      <c r="AF148" s="34" t="str">
        <f t="shared" si="91"/>
        <v/>
      </c>
      <c r="AG148" s="34" t="str">
        <f t="shared" si="92"/>
        <v/>
      </c>
      <c r="AH148" s="34" t="str">
        <f t="shared" si="69"/>
        <v/>
      </c>
      <c r="AI148" s="34" t="str">
        <f t="shared" si="69"/>
        <v/>
      </c>
      <c r="AJ148" s="34" t="str">
        <f t="shared" si="69"/>
        <v/>
      </c>
      <c r="AK148" s="34" t="str">
        <f t="shared" si="69"/>
        <v/>
      </c>
      <c r="AL148" s="34" t="str">
        <f t="shared" si="69"/>
        <v/>
      </c>
      <c r="AM148" s="34" t="str">
        <f t="shared" si="92"/>
        <v/>
      </c>
      <c r="AN148" s="34" t="str">
        <f t="shared" si="92"/>
        <v/>
      </c>
      <c r="AO148" s="34" t="str">
        <f t="shared" si="75"/>
        <v/>
      </c>
      <c r="AP148" s="34" t="str">
        <f t="shared" si="75"/>
        <v/>
      </c>
      <c r="AQ148" s="34" t="str">
        <f t="shared" si="75"/>
        <v/>
      </c>
      <c r="AR148" s="34" t="str">
        <f t="shared" si="75"/>
        <v/>
      </c>
      <c r="AS148" s="34" t="str">
        <f t="shared" si="75"/>
        <v/>
      </c>
      <c r="AT148" s="34" t="str">
        <f t="shared" si="93"/>
        <v/>
      </c>
      <c r="AU148" s="34" t="str">
        <f t="shared" si="93"/>
        <v/>
      </c>
      <c r="AV148" s="34" t="str">
        <f t="shared" si="76"/>
        <v/>
      </c>
      <c r="AW148" s="34" t="str">
        <f t="shared" si="76"/>
        <v/>
      </c>
      <c r="AX148" s="34" t="str">
        <f t="shared" si="76"/>
        <v/>
      </c>
      <c r="AY148" s="34" t="str">
        <f t="shared" si="76"/>
        <v/>
      </c>
      <c r="AZ148" s="34" t="str">
        <f t="shared" si="76"/>
        <v/>
      </c>
      <c r="BA148" s="34" t="str">
        <f t="shared" si="94"/>
        <v/>
      </c>
      <c r="BB148" s="34" t="str">
        <f t="shared" si="94"/>
        <v/>
      </c>
      <c r="BC148" s="34" t="str">
        <f t="shared" si="72"/>
        <v/>
      </c>
      <c r="BD148" s="34" t="str">
        <f t="shared" si="72"/>
        <v/>
      </c>
      <c r="BE148" s="34" t="str">
        <f t="shared" si="72"/>
        <v/>
      </c>
      <c r="BF148" s="34" t="str">
        <f t="shared" si="72"/>
        <v/>
      </c>
      <c r="BG148" s="34" t="str">
        <f t="shared" si="72"/>
        <v/>
      </c>
      <c r="BH148" s="34" t="str">
        <f t="shared" si="94"/>
        <v/>
      </c>
      <c r="BI148" s="34" t="str">
        <f t="shared" si="94"/>
        <v/>
      </c>
      <c r="BJ148" s="34" t="str">
        <f t="shared" si="94"/>
        <v/>
      </c>
      <c r="BK148" s="34" t="str">
        <f t="shared" si="95"/>
        <v/>
      </c>
      <c r="BL148" s="34" t="str">
        <f t="shared" si="95"/>
        <v/>
      </c>
      <c r="BM148" s="34" t="str">
        <f t="shared" si="95"/>
        <v/>
      </c>
      <c r="BN148" s="34" t="str">
        <f t="shared" si="95"/>
        <v/>
      </c>
      <c r="BO148" s="34" t="str">
        <f t="shared" si="95"/>
        <v/>
      </c>
      <c r="BP148" s="34" t="str">
        <f t="shared" si="95"/>
        <v/>
      </c>
    </row>
    <row r="149" spans="2:68" outlineLevel="1" x14ac:dyDescent="0.25">
      <c r="B149" s="32">
        <f t="shared" si="58"/>
        <v>140</v>
      </c>
      <c r="C149" s="33" t="s">
        <v>5</v>
      </c>
      <c r="D149" s="34" t="s">
        <v>492</v>
      </c>
      <c r="E149" s="34"/>
      <c r="F149" s="40"/>
      <c r="G149" s="33">
        <v>2</v>
      </c>
      <c r="H149" s="35">
        <f t="shared" si="73"/>
        <v>46455</v>
      </c>
      <c r="I149" s="35" cm="1">
        <f t="array" ref="I149">IF(G149&lt;&gt;"",WORKDAY(Start,Duration-1),IF(Type="M",WORKDAY(Start,Duration-1),""))</f>
        <v>46456</v>
      </c>
      <c r="J149" s="43"/>
      <c r="K149" s="47" t="s">
        <v>102</v>
      </c>
      <c r="L149" s="34" t="s">
        <v>84</v>
      </c>
      <c r="M149" s="36" t="str">
        <f t="shared" si="89"/>
        <v/>
      </c>
      <c r="N149" s="34" t="str">
        <f t="shared" si="89"/>
        <v/>
      </c>
      <c r="O149" s="34" t="str">
        <f t="shared" si="89"/>
        <v/>
      </c>
      <c r="P149" s="34" t="str">
        <f t="shared" si="89"/>
        <v/>
      </c>
      <c r="Q149" s="34" t="str">
        <f t="shared" si="89"/>
        <v/>
      </c>
      <c r="R149" s="34"/>
      <c r="S149" s="34"/>
      <c r="T149" s="34" t="str">
        <f t="shared" si="74"/>
        <v/>
      </c>
      <c r="U149" s="34" t="str">
        <f t="shared" si="74"/>
        <v/>
      </c>
      <c r="V149" s="34" t="str">
        <f t="shared" si="74"/>
        <v/>
      </c>
      <c r="W149" s="34" t="str">
        <f t="shared" si="74"/>
        <v/>
      </c>
      <c r="X149" s="34" t="str">
        <f t="shared" si="74"/>
        <v/>
      </c>
      <c r="Y149" s="34"/>
      <c r="Z149" s="34"/>
      <c r="AA149" s="34" t="str">
        <f t="shared" si="91"/>
        <v/>
      </c>
      <c r="AB149" s="34" t="str">
        <f t="shared" si="91"/>
        <v/>
      </c>
      <c r="AC149" s="34" t="str">
        <f t="shared" si="91"/>
        <v/>
      </c>
      <c r="AD149" s="34" t="str">
        <f t="shared" si="91"/>
        <v/>
      </c>
      <c r="AE149" s="34" t="str">
        <f t="shared" si="91"/>
        <v/>
      </c>
      <c r="AF149" s="34"/>
      <c r="AG149" s="34"/>
      <c r="AH149" s="34" t="str">
        <f t="shared" si="69"/>
        <v/>
      </c>
      <c r="AI149" s="34" t="str">
        <f t="shared" si="69"/>
        <v/>
      </c>
      <c r="AJ149" s="34" t="str">
        <f t="shared" si="69"/>
        <v/>
      </c>
      <c r="AK149" s="34" t="str">
        <f t="shared" si="69"/>
        <v/>
      </c>
      <c r="AL149" s="34" t="str">
        <f t="shared" si="69"/>
        <v/>
      </c>
      <c r="AM149" s="34"/>
      <c r="AN149" s="34"/>
      <c r="AO149" s="34" t="str">
        <f t="shared" si="75"/>
        <v/>
      </c>
      <c r="AP149" s="34" t="str">
        <f t="shared" si="75"/>
        <v/>
      </c>
      <c r="AQ149" s="34" t="str">
        <f t="shared" si="75"/>
        <v/>
      </c>
      <c r="AR149" s="34" t="str">
        <f t="shared" si="75"/>
        <v/>
      </c>
      <c r="AS149" s="34" t="str">
        <f t="shared" si="75"/>
        <v/>
      </c>
      <c r="AT149" s="34"/>
      <c r="AU149" s="34"/>
      <c r="AV149" s="34" t="str">
        <f t="shared" si="76"/>
        <v/>
      </c>
      <c r="AW149" s="34" t="str">
        <f t="shared" si="76"/>
        <v/>
      </c>
      <c r="AX149" s="34" t="str">
        <f t="shared" si="76"/>
        <v/>
      </c>
      <c r="AY149" s="34" t="str">
        <f t="shared" si="76"/>
        <v/>
      </c>
      <c r="AZ149" s="34" t="str">
        <f t="shared" si="76"/>
        <v/>
      </c>
      <c r="BA149" s="34"/>
      <c r="BB149" s="34"/>
      <c r="BC149" s="34" t="str">
        <f t="shared" si="72"/>
        <v/>
      </c>
      <c r="BD149" s="34" t="str">
        <f t="shared" si="72"/>
        <v/>
      </c>
      <c r="BE149" s="34" t="str">
        <f t="shared" si="72"/>
        <v/>
      </c>
      <c r="BF149" s="34" t="str">
        <f t="shared" si="72"/>
        <v/>
      </c>
      <c r="BG149" s="34" t="str">
        <f t="shared" si="72"/>
        <v/>
      </c>
      <c r="BH149" s="34"/>
      <c r="BI149" s="34"/>
      <c r="BJ149" s="34"/>
      <c r="BK149" s="34"/>
      <c r="BL149" s="34"/>
      <c r="BM149" s="34"/>
      <c r="BN149" s="34"/>
      <c r="BO149" s="34"/>
      <c r="BP149" s="34"/>
    </row>
    <row r="150" spans="2:68" outlineLevel="1" x14ac:dyDescent="0.25">
      <c r="B150" s="32">
        <f t="shared" si="58"/>
        <v>141</v>
      </c>
      <c r="C150" s="33" t="s">
        <v>6</v>
      </c>
      <c r="D150" s="34" t="s">
        <v>53</v>
      </c>
      <c r="E150" s="34"/>
      <c r="F150" s="40"/>
      <c r="G150" s="33"/>
      <c r="H150" s="35">
        <f t="shared" si="73"/>
        <v>46456</v>
      </c>
      <c r="I150" s="35" cm="1">
        <f t="array" ref="I150">IF(G150&lt;&gt;"",WORKDAY(Start,Duration-1),IF(Type="M",WORKDAY(Start,Duration-1),""))</f>
        <v>46456</v>
      </c>
      <c r="J150" s="43"/>
      <c r="K150" s="47" t="s">
        <v>102</v>
      </c>
      <c r="L150" s="34"/>
      <c r="M150" s="36" t="str">
        <f t="shared" si="89"/>
        <v/>
      </c>
      <c r="N150" s="34" t="str">
        <f t="shared" si="89"/>
        <v/>
      </c>
      <c r="O150" s="34" t="str">
        <f t="shared" si="89"/>
        <v/>
      </c>
      <c r="P150" s="34" t="str">
        <f t="shared" si="89"/>
        <v/>
      </c>
      <c r="Q150" s="34" t="str">
        <f t="shared" si="89"/>
        <v/>
      </c>
      <c r="R150" s="34" t="str">
        <f t="shared" si="90"/>
        <v/>
      </c>
      <c r="S150" s="34" t="str">
        <f t="shared" si="90"/>
        <v/>
      </c>
      <c r="T150" s="34" t="str">
        <f t="shared" si="74"/>
        <v/>
      </c>
      <c r="U150" s="34" t="str">
        <f t="shared" si="74"/>
        <v/>
      </c>
      <c r="V150" s="34" t="str">
        <f t="shared" si="74"/>
        <v/>
      </c>
      <c r="W150" s="34" t="str">
        <f t="shared" si="74"/>
        <v/>
      </c>
      <c r="X150" s="34" t="str">
        <f t="shared" si="74"/>
        <v/>
      </c>
      <c r="Y150" s="34" t="str">
        <f t="shared" si="91"/>
        <v/>
      </c>
      <c r="Z150" s="34" t="str">
        <f t="shared" si="91"/>
        <v/>
      </c>
      <c r="AA150" s="34" t="str">
        <f t="shared" si="91"/>
        <v/>
      </c>
      <c r="AB150" s="34" t="str">
        <f t="shared" si="91"/>
        <v/>
      </c>
      <c r="AC150" s="34" t="str">
        <f t="shared" si="91"/>
        <v/>
      </c>
      <c r="AD150" s="34" t="str">
        <f t="shared" si="91"/>
        <v/>
      </c>
      <c r="AE150" s="34" t="str">
        <f t="shared" si="91"/>
        <v/>
      </c>
      <c r="AF150" s="34" t="str">
        <f t="shared" si="91"/>
        <v/>
      </c>
      <c r="AG150" s="34" t="str">
        <f t="shared" si="92"/>
        <v/>
      </c>
      <c r="AH150" s="34" t="str">
        <f t="shared" si="69"/>
        <v/>
      </c>
      <c r="AI150" s="34" t="str">
        <f t="shared" si="69"/>
        <v/>
      </c>
      <c r="AJ150" s="34" t="str">
        <f t="shared" si="69"/>
        <v/>
      </c>
      <c r="AK150" s="34" t="str">
        <f t="shared" si="69"/>
        <v/>
      </c>
      <c r="AL150" s="34" t="str">
        <f t="shared" si="69"/>
        <v/>
      </c>
      <c r="AM150" s="34" t="str">
        <f t="shared" si="92"/>
        <v/>
      </c>
      <c r="AN150" s="34" t="str">
        <f t="shared" si="92"/>
        <v/>
      </c>
      <c r="AO150" s="34" t="str">
        <f t="shared" si="75"/>
        <v/>
      </c>
      <c r="AP150" s="34" t="str">
        <f t="shared" si="75"/>
        <v/>
      </c>
      <c r="AQ150" s="34" t="str">
        <f t="shared" si="75"/>
        <v/>
      </c>
      <c r="AR150" s="34" t="str">
        <f t="shared" si="75"/>
        <v/>
      </c>
      <c r="AS150" s="34" t="str">
        <f t="shared" si="75"/>
        <v/>
      </c>
      <c r="AT150" s="34" t="str">
        <f t="shared" si="93"/>
        <v/>
      </c>
      <c r="AU150" s="34" t="str">
        <f t="shared" si="93"/>
        <v/>
      </c>
      <c r="AV150" s="34" t="str">
        <f t="shared" si="76"/>
        <v/>
      </c>
      <c r="AW150" s="34" t="str">
        <f t="shared" si="76"/>
        <v/>
      </c>
      <c r="AX150" s="34" t="str">
        <f t="shared" si="76"/>
        <v/>
      </c>
      <c r="AY150" s="34" t="str">
        <f t="shared" si="76"/>
        <v/>
      </c>
      <c r="AZ150" s="34" t="str">
        <f t="shared" si="76"/>
        <v/>
      </c>
      <c r="BA150" s="34" t="str">
        <f t="shared" si="94"/>
        <v/>
      </c>
      <c r="BB150" s="34" t="str">
        <f t="shared" si="94"/>
        <v/>
      </c>
      <c r="BC150" s="34" t="str">
        <f t="shared" si="72"/>
        <v/>
      </c>
      <c r="BD150" s="34" t="str">
        <f t="shared" si="72"/>
        <v/>
      </c>
      <c r="BE150" s="34" t="str">
        <f t="shared" si="72"/>
        <v/>
      </c>
      <c r="BF150" s="34" t="str">
        <f t="shared" si="72"/>
        <v/>
      </c>
      <c r="BG150" s="34" t="str">
        <f t="shared" si="72"/>
        <v/>
      </c>
      <c r="BH150" s="34" t="str">
        <f t="shared" si="94"/>
        <v/>
      </c>
      <c r="BI150" s="34" t="str">
        <f t="shared" si="94"/>
        <v/>
      </c>
      <c r="BJ150" s="34" t="str">
        <f t="shared" si="94"/>
        <v/>
      </c>
      <c r="BK150" s="34" t="str">
        <f t="shared" si="95"/>
        <v/>
      </c>
      <c r="BL150" s="34" t="str">
        <f t="shared" si="95"/>
        <v/>
      </c>
      <c r="BM150" s="34" t="str">
        <f t="shared" si="95"/>
        <v/>
      </c>
      <c r="BN150" s="34" t="str">
        <f t="shared" si="95"/>
        <v/>
      </c>
      <c r="BO150" s="34" t="str">
        <f t="shared" si="95"/>
        <v/>
      </c>
      <c r="BP150" s="34" t="str">
        <f t="shared" si="95"/>
        <v/>
      </c>
    </row>
    <row r="151" spans="2:68" x14ac:dyDescent="0.25">
      <c r="B151" s="32">
        <f t="shared" si="58"/>
        <v>142</v>
      </c>
      <c r="C151" s="33" t="s">
        <v>1</v>
      </c>
      <c r="D151" s="37" t="s">
        <v>385</v>
      </c>
      <c r="E151" s="37"/>
      <c r="F151" s="41"/>
      <c r="G151" s="33">
        <f>SUM(G152:G162)</f>
        <v>23</v>
      </c>
      <c r="H151" s="35">
        <f t="shared" si="73"/>
        <v>46457</v>
      </c>
      <c r="I151" s="35" cm="1">
        <f t="array" ref="I151">IF(G151&lt;&gt;"",WORKDAY(Start,Duration-1),IF(Type="M",WORKDAY(Start,Duration-1),""))</f>
        <v>46489</v>
      </c>
      <c r="J151" s="43" cm="1">
        <f t="array" ref="J151">SUM(J152:J162*G152:G162)/SUM(G152:G162)</f>
        <v>0</v>
      </c>
      <c r="K151" s="46"/>
      <c r="L151" s="34"/>
      <c r="M151" s="36" t="str">
        <f t="shared" si="89"/>
        <v/>
      </c>
      <c r="N151" s="34" t="str">
        <f t="shared" si="89"/>
        <v/>
      </c>
      <c r="O151" s="34" t="str">
        <f t="shared" si="89"/>
        <v/>
      </c>
      <c r="P151" s="34" t="str">
        <f t="shared" si="89"/>
        <v/>
      </c>
      <c r="Q151" s="34" t="str">
        <f t="shared" si="89"/>
        <v/>
      </c>
      <c r="R151" s="34" t="str">
        <f t="shared" si="90"/>
        <v/>
      </c>
      <c r="S151" s="34" t="str">
        <f t="shared" si="90"/>
        <v/>
      </c>
      <c r="T151" s="34" t="str">
        <f t="shared" si="74"/>
        <v/>
      </c>
      <c r="U151" s="34" t="str">
        <f t="shared" si="74"/>
        <v/>
      </c>
      <c r="V151" s="34" t="str">
        <f t="shared" si="74"/>
        <v/>
      </c>
      <c r="W151" s="34" t="str">
        <f t="shared" si="74"/>
        <v/>
      </c>
      <c r="X151" s="34" t="str">
        <f t="shared" si="74"/>
        <v/>
      </c>
      <c r="Y151" s="34" t="str">
        <f t="shared" si="91"/>
        <v/>
      </c>
      <c r="Z151" s="34" t="str">
        <f t="shared" si="91"/>
        <v/>
      </c>
      <c r="AA151" s="34" t="str">
        <f t="shared" si="91"/>
        <v/>
      </c>
      <c r="AB151" s="34" t="str">
        <f t="shared" si="91"/>
        <v/>
      </c>
      <c r="AC151" s="34" t="str">
        <f t="shared" si="91"/>
        <v/>
      </c>
      <c r="AD151" s="34" t="str">
        <f t="shared" si="91"/>
        <v/>
      </c>
      <c r="AE151" s="34" t="str">
        <f t="shared" si="91"/>
        <v/>
      </c>
      <c r="AF151" s="34" t="str">
        <f t="shared" si="91"/>
        <v/>
      </c>
      <c r="AG151" s="34" t="str">
        <f t="shared" si="92"/>
        <v/>
      </c>
      <c r="AH151" s="34" t="str">
        <f t="shared" si="69"/>
        <v/>
      </c>
      <c r="AI151" s="34" t="str">
        <f t="shared" si="69"/>
        <v/>
      </c>
      <c r="AJ151" s="34" t="str">
        <f t="shared" si="69"/>
        <v/>
      </c>
      <c r="AK151" s="34" t="str">
        <f t="shared" si="69"/>
        <v/>
      </c>
      <c r="AL151" s="34" t="str">
        <f t="shared" si="69"/>
        <v/>
      </c>
      <c r="AM151" s="34" t="str">
        <f t="shared" si="92"/>
        <v/>
      </c>
      <c r="AN151" s="34" t="str">
        <f t="shared" si="92"/>
        <v/>
      </c>
      <c r="AO151" s="34" t="str">
        <f t="shared" si="75"/>
        <v/>
      </c>
      <c r="AP151" s="34" t="str">
        <f t="shared" si="75"/>
        <v/>
      </c>
      <c r="AQ151" s="34" t="str">
        <f t="shared" si="75"/>
        <v/>
      </c>
      <c r="AR151" s="34" t="str">
        <f t="shared" si="75"/>
        <v/>
      </c>
      <c r="AS151" s="34" t="str">
        <f t="shared" si="75"/>
        <v/>
      </c>
      <c r="AT151" s="34" t="str">
        <f t="shared" si="93"/>
        <v/>
      </c>
      <c r="AU151" s="34" t="str">
        <f t="shared" si="93"/>
        <v/>
      </c>
      <c r="AV151" s="34" t="str">
        <f t="shared" si="93"/>
        <v/>
      </c>
      <c r="AW151" s="34" t="str">
        <f t="shared" si="93"/>
        <v/>
      </c>
      <c r="AX151" s="34" t="str">
        <f t="shared" si="93"/>
        <v/>
      </c>
      <c r="AY151" s="34" t="str">
        <f t="shared" si="93"/>
        <v/>
      </c>
      <c r="AZ151" s="34" t="str">
        <f t="shared" si="93"/>
        <v/>
      </c>
      <c r="BA151" s="34" t="str">
        <f t="shared" si="94"/>
        <v/>
      </c>
      <c r="BB151" s="34" t="str">
        <f t="shared" si="94"/>
        <v/>
      </c>
      <c r="BC151" s="34" t="str">
        <f t="shared" si="72"/>
        <v/>
      </c>
      <c r="BD151" s="34" t="str">
        <f t="shared" si="72"/>
        <v/>
      </c>
      <c r="BE151" s="34" t="str">
        <f t="shared" si="72"/>
        <v/>
      </c>
      <c r="BF151" s="34" t="str">
        <f t="shared" si="72"/>
        <v/>
      </c>
      <c r="BG151" s="34" t="str">
        <f t="shared" si="72"/>
        <v/>
      </c>
      <c r="BH151" s="34" t="str">
        <f t="shared" si="94"/>
        <v/>
      </c>
      <c r="BI151" s="34" t="str">
        <f t="shared" si="94"/>
        <v/>
      </c>
      <c r="BJ151" s="34" t="str">
        <f t="shared" si="94"/>
        <v/>
      </c>
      <c r="BK151" s="34" t="str">
        <f t="shared" si="95"/>
        <v/>
      </c>
      <c r="BL151" s="34" t="str">
        <f t="shared" si="95"/>
        <v/>
      </c>
      <c r="BM151" s="34" t="str">
        <f t="shared" si="95"/>
        <v/>
      </c>
      <c r="BN151" s="34" t="str">
        <f t="shared" si="95"/>
        <v/>
      </c>
      <c r="BO151" s="34" t="str">
        <f t="shared" si="95"/>
        <v/>
      </c>
      <c r="BP151" s="34" t="str">
        <f t="shared" si="95"/>
        <v/>
      </c>
    </row>
    <row r="152" spans="2:68" outlineLevel="1" x14ac:dyDescent="0.25">
      <c r="B152" s="32">
        <f t="shared" si="58"/>
        <v>143</v>
      </c>
      <c r="C152" s="33" t="s">
        <v>5</v>
      </c>
      <c r="D152" s="34" t="s">
        <v>75</v>
      </c>
      <c r="E152" s="34"/>
      <c r="F152" s="40"/>
      <c r="G152" s="33">
        <v>1</v>
      </c>
      <c r="H152" s="35">
        <f>H151</f>
        <v>46457</v>
      </c>
      <c r="I152" s="35" cm="1">
        <f t="array" ref="I152">IF(G152&lt;&gt;"",WORKDAY(Start,Duration-1),IF(Type="M",WORKDAY(Start,Duration-1),""))</f>
        <v>46457</v>
      </c>
      <c r="J152" s="44"/>
      <c r="K152" s="47"/>
      <c r="L152" s="34"/>
      <c r="M152" s="36" t="str">
        <f t="shared" si="90"/>
        <v/>
      </c>
      <c r="N152" s="34" t="str">
        <f t="shared" si="90"/>
        <v/>
      </c>
      <c r="O152" s="34" t="str">
        <f t="shared" si="90"/>
        <v/>
      </c>
      <c r="P152" s="34" t="str">
        <f t="shared" si="90"/>
        <v/>
      </c>
      <c r="Q152" s="34" t="str">
        <f t="shared" si="90"/>
        <v/>
      </c>
      <c r="R152" s="34" t="str">
        <f t="shared" si="90"/>
        <v/>
      </c>
      <c r="S152" s="34" t="str">
        <f t="shared" si="90"/>
        <v/>
      </c>
      <c r="T152" s="34" t="str">
        <f t="shared" si="90"/>
        <v/>
      </c>
      <c r="U152" s="34" t="str">
        <f t="shared" si="90"/>
        <v/>
      </c>
      <c r="V152" s="34" t="str">
        <f t="shared" si="90"/>
        <v/>
      </c>
      <c r="W152" s="34" t="str">
        <f t="shared" si="91"/>
        <v/>
      </c>
      <c r="X152" s="34" t="str">
        <f t="shared" si="91"/>
        <v/>
      </c>
      <c r="Y152" s="34" t="str">
        <f t="shared" si="91"/>
        <v/>
      </c>
      <c r="Z152" s="34" t="str">
        <f t="shared" si="91"/>
        <v/>
      </c>
      <c r="AA152" s="34" t="str">
        <f t="shared" si="91"/>
        <v/>
      </c>
      <c r="AB152" s="34" t="str">
        <f t="shared" si="91"/>
        <v/>
      </c>
      <c r="AC152" s="34" t="str">
        <f t="shared" si="91"/>
        <v/>
      </c>
      <c r="AD152" s="34" t="str">
        <f t="shared" si="91"/>
        <v/>
      </c>
      <c r="AE152" s="34" t="str">
        <f t="shared" si="91"/>
        <v/>
      </c>
      <c r="AF152" s="34" t="str">
        <f t="shared" si="91"/>
        <v/>
      </c>
      <c r="AG152" s="34" t="str">
        <f t="shared" si="92"/>
        <v/>
      </c>
      <c r="AH152" s="34" t="str">
        <f t="shared" si="92"/>
        <v/>
      </c>
      <c r="AI152" s="34" t="str">
        <f t="shared" si="92"/>
        <v/>
      </c>
      <c r="AJ152" s="34" t="str">
        <f t="shared" si="92"/>
        <v/>
      </c>
      <c r="AK152" s="34" t="str">
        <f t="shared" si="92"/>
        <v/>
      </c>
      <c r="AL152" s="34" t="str">
        <f t="shared" si="92"/>
        <v/>
      </c>
      <c r="AM152" s="34" t="str">
        <f t="shared" si="92"/>
        <v/>
      </c>
      <c r="AN152" s="34" t="str">
        <f t="shared" si="92"/>
        <v/>
      </c>
      <c r="AO152" s="34" t="str">
        <f t="shared" si="92"/>
        <v/>
      </c>
      <c r="AP152" s="34" t="str">
        <f t="shared" si="92"/>
        <v/>
      </c>
      <c r="AQ152" s="34" t="str">
        <f t="shared" si="93"/>
        <v/>
      </c>
      <c r="AR152" s="34" t="str">
        <f t="shared" si="93"/>
        <v/>
      </c>
      <c r="AS152" s="34" t="str">
        <f t="shared" si="93"/>
        <v/>
      </c>
      <c r="AT152" s="34" t="str">
        <f t="shared" si="93"/>
        <v/>
      </c>
      <c r="AU152" s="34" t="str">
        <f t="shared" si="93"/>
        <v/>
      </c>
      <c r="AV152" s="34" t="str">
        <f t="shared" si="93"/>
        <v/>
      </c>
      <c r="AW152" s="34" t="str">
        <f t="shared" si="93"/>
        <v/>
      </c>
      <c r="AX152" s="34" t="str">
        <f t="shared" si="93"/>
        <v/>
      </c>
      <c r="AY152" s="34" t="str">
        <f t="shared" si="93"/>
        <v/>
      </c>
      <c r="AZ152" s="34" t="str">
        <f t="shared" si="93"/>
        <v/>
      </c>
      <c r="BA152" s="34" t="str">
        <f t="shared" si="94"/>
        <v/>
      </c>
      <c r="BB152" s="34" t="str">
        <f t="shared" si="94"/>
        <v/>
      </c>
      <c r="BC152" s="34" t="str">
        <f t="shared" si="94"/>
        <v/>
      </c>
      <c r="BD152" s="34" t="str">
        <f t="shared" si="94"/>
        <v/>
      </c>
      <c r="BE152" s="34" t="str">
        <f t="shared" si="94"/>
        <v/>
      </c>
      <c r="BF152" s="34" t="str">
        <f t="shared" si="94"/>
        <v/>
      </c>
      <c r="BG152" s="34" t="str">
        <f t="shared" si="94"/>
        <v/>
      </c>
      <c r="BH152" s="34" t="str">
        <f t="shared" si="94"/>
        <v/>
      </c>
      <c r="BI152" s="34" t="str">
        <f t="shared" si="94"/>
        <v/>
      </c>
      <c r="BJ152" s="34" t="str">
        <f t="shared" si="94"/>
        <v/>
      </c>
      <c r="BK152" s="34" t="str">
        <f t="shared" si="95"/>
        <v/>
      </c>
      <c r="BL152" s="34" t="str">
        <f t="shared" si="95"/>
        <v/>
      </c>
      <c r="BM152" s="34" t="str">
        <f t="shared" si="95"/>
        <v/>
      </c>
      <c r="BN152" s="34" t="str">
        <f t="shared" si="95"/>
        <v/>
      </c>
      <c r="BO152" s="34" t="str">
        <f t="shared" si="95"/>
        <v/>
      </c>
      <c r="BP152" s="34" t="str">
        <f t="shared" si="95"/>
        <v/>
      </c>
    </row>
    <row r="153" spans="2:68" outlineLevel="1" x14ac:dyDescent="0.25">
      <c r="B153" s="32">
        <f t="shared" si="58"/>
        <v>144</v>
      </c>
      <c r="C153" s="33" t="s">
        <v>5</v>
      </c>
      <c r="D153" s="34" t="s">
        <v>37</v>
      </c>
      <c r="E153" s="34"/>
      <c r="F153" s="40"/>
      <c r="G153" s="33">
        <v>5</v>
      </c>
      <c r="H153" s="35">
        <f t="shared" si="73"/>
        <v>46458</v>
      </c>
      <c r="I153" s="35" cm="1">
        <f t="array" ref="I153">IF(G153&lt;&gt;"",WORKDAY(Start,Duration-1),IF(Type="M",WORKDAY(Start,Duration-1),""))</f>
        <v>46464</v>
      </c>
      <c r="J153" s="44"/>
      <c r="K153" s="47"/>
      <c r="L153" s="34"/>
      <c r="M153" s="36" t="str">
        <f t="shared" si="90"/>
        <v/>
      </c>
      <c r="N153" s="34" t="str">
        <f t="shared" si="90"/>
        <v/>
      </c>
      <c r="O153" s="34" t="str">
        <f t="shared" si="90"/>
        <v/>
      </c>
      <c r="P153" s="34" t="str">
        <f t="shared" si="90"/>
        <v/>
      </c>
      <c r="Q153" s="34" t="str">
        <f t="shared" si="90"/>
        <v/>
      </c>
      <c r="R153" s="34" t="str">
        <f t="shared" si="90"/>
        <v/>
      </c>
      <c r="S153" s="34" t="str">
        <f t="shared" si="90"/>
        <v/>
      </c>
      <c r="T153" s="34" t="str">
        <f t="shared" si="90"/>
        <v/>
      </c>
      <c r="U153" s="34" t="str">
        <f t="shared" si="90"/>
        <v/>
      </c>
      <c r="V153" s="34" t="str">
        <f t="shared" si="90"/>
        <v/>
      </c>
      <c r="W153" s="34" t="str">
        <f t="shared" si="91"/>
        <v/>
      </c>
      <c r="X153" s="34" t="str">
        <f t="shared" si="91"/>
        <v/>
      </c>
      <c r="Y153" s="34" t="str">
        <f t="shared" si="91"/>
        <v/>
      </c>
      <c r="Z153" s="34" t="str">
        <f t="shared" si="91"/>
        <v/>
      </c>
      <c r="AA153" s="34" t="str">
        <f t="shared" si="91"/>
        <v/>
      </c>
      <c r="AB153" s="34" t="str">
        <f t="shared" si="91"/>
        <v/>
      </c>
      <c r="AC153" s="34" t="str">
        <f t="shared" si="91"/>
        <v/>
      </c>
      <c r="AD153" s="34" t="str">
        <f t="shared" si="91"/>
        <v/>
      </c>
      <c r="AE153" s="34" t="str">
        <f t="shared" si="91"/>
        <v/>
      </c>
      <c r="AF153" s="34" t="str">
        <f t="shared" si="91"/>
        <v/>
      </c>
      <c r="AG153" s="34" t="str">
        <f t="shared" si="92"/>
        <v/>
      </c>
      <c r="AH153" s="34" t="str">
        <f t="shared" si="92"/>
        <v/>
      </c>
      <c r="AI153" s="34" t="str">
        <f t="shared" si="92"/>
        <v/>
      </c>
      <c r="AJ153" s="34" t="str">
        <f t="shared" si="92"/>
        <v/>
      </c>
      <c r="AK153" s="34" t="str">
        <f t="shared" si="92"/>
        <v/>
      </c>
      <c r="AL153" s="34" t="str">
        <f t="shared" si="92"/>
        <v/>
      </c>
      <c r="AM153" s="34" t="str">
        <f t="shared" si="92"/>
        <v/>
      </c>
      <c r="AN153" s="34" t="str">
        <f t="shared" si="92"/>
        <v/>
      </c>
      <c r="AO153" s="34" t="str">
        <f t="shared" si="92"/>
        <v/>
      </c>
      <c r="AP153" s="34" t="str">
        <f t="shared" si="92"/>
        <v/>
      </c>
      <c r="AQ153" s="34" t="str">
        <f t="shared" si="93"/>
        <v/>
      </c>
      <c r="AR153" s="34" t="str">
        <f t="shared" si="93"/>
        <v/>
      </c>
      <c r="AS153" s="34" t="str">
        <f t="shared" si="93"/>
        <v/>
      </c>
      <c r="AT153" s="34" t="str">
        <f t="shared" si="93"/>
        <v/>
      </c>
      <c r="AU153" s="34" t="str">
        <f t="shared" si="93"/>
        <v/>
      </c>
      <c r="AV153" s="34" t="str">
        <f t="shared" si="93"/>
        <v/>
      </c>
      <c r="AW153" s="34" t="str">
        <f t="shared" si="93"/>
        <v/>
      </c>
      <c r="AX153" s="34" t="str">
        <f t="shared" si="93"/>
        <v/>
      </c>
      <c r="AY153" s="34" t="str">
        <f t="shared" si="93"/>
        <v/>
      </c>
      <c r="AZ153" s="34" t="str">
        <f t="shared" si="93"/>
        <v/>
      </c>
      <c r="BA153" s="34" t="str">
        <f t="shared" si="94"/>
        <v/>
      </c>
      <c r="BB153" s="34" t="str">
        <f t="shared" si="94"/>
        <v/>
      </c>
      <c r="BC153" s="34" t="str">
        <f t="shared" si="94"/>
        <v/>
      </c>
      <c r="BD153" s="34" t="str">
        <f t="shared" si="94"/>
        <v/>
      </c>
      <c r="BE153" s="34" t="str">
        <f t="shared" si="94"/>
        <v/>
      </c>
      <c r="BF153" s="34" t="str">
        <f t="shared" si="94"/>
        <v/>
      </c>
      <c r="BG153" s="34" t="str">
        <f t="shared" si="94"/>
        <v/>
      </c>
      <c r="BH153" s="34" t="str">
        <f t="shared" si="94"/>
        <v/>
      </c>
      <c r="BI153" s="34" t="str">
        <f t="shared" si="94"/>
        <v/>
      </c>
      <c r="BJ153" s="34" t="str">
        <f t="shared" si="94"/>
        <v/>
      </c>
      <c r="BK153" s="34" t="str">
        <f t="shared" si="95"/>
        <v/>
      </c>
      <c r="BL153" s="34" t="str">
        <f t="shared" si="95"/>
        <v/>
      </c>
      <c r="BM153" s="34" t="str">
        <f t="shared" si="95"/>
        <v/>
      </c>
      <c r="BN153" s="34" t="str">
        <f t="shared" si="95"/>
        <v/>
      </c>
      <c r="BO153" s="34" t="str">
        <f t="shared" si="95"/>
        <v/>
      </c>
      <c r="BP153" s="34" t="str">
        <f t="shared" si="95"/>
        <v/>
      </c>
    </row>
    <row r="154" spans="2:68" outlineLevel="1" x14ac:dyDescent="0.25">
      <c r="B154" s="32">
        <f t="shared" si="58"/>
        <v>145</v>
      </c>
      <c r="C154" s="33" t="s">
        <v>5</v>
      </c>
      <c r="D154" s="34" t="s">
        <v>38</v>
      </c>
      <c r="E154" s="34"/>
      <c r="F154" s="40"/>
      <c r="G154" s="33">
        <v>1</v>
      </c>
      <c r="H154" s="35">
        <f t="shared" si="73"/>
        <v>46465</v>
      </c>
      <c r="I154" s="35" cm="1">
        <f t="array" ref="I154">IF(G154&lt;&gt;"",WORKDAY(Start,Duration-1),IF(Type="M",WORKDAY(Start,Duration-1),""))</f>
        <v>46465</v>
      </c>
      <c r="J154" s="44"/>
      <c r="K154" s="47"/>
      <c r="L154" s="34"/>
      <c r="M154" s="36" t="str">
        <f t="shared" si="90"/>
        <v/>
      </c>
      <c r="N154" s="34" t="str">
        <f t="shared" si="90"/>
        <v/>
      </c>
      <c r="O154" s="34" t="str">
        <f t="shared" si="90"/>
        <v/>
      </c>
      <c r="P154" s="34" t="str">
        <f t="shared" si="90"/>
        <v/>
      </c>
      <c r="Q154" s="34" t="str">
        <f t="shared" si="90"/>
        <v/>
      </c>
      <c r="R154" s="34" t="str">
        <f t="shared" si="90"/>
        <v/>
      </c>
      <c r="S154" s="34" t="str">
        <f t="shared" si="90"/>
        <v/>
      </c>
      <c r="T154" s="34" t="str">
        <f t="shared" si="90"/>
        <v/>
      </c>
      <c r="U154" s="34" t="str">
        <f t="shared" si="90"/>
        <v/>
      </c>
      <c r="V154" s="34" t="str">
        <f t="shared" si="90"/>
        <v/>
      </c>
      <c r="W154" s="34" t="str">
        <f t="shared" si="91"/>
        <v/>
      </c>
      <c r="X154" s="34" t="str">
        <f t="shared" si="91"/>
        <v/>
      </c>
      <c r="Y154" s="34" t="str">
        <f t="shared" si="91"/>
        <v/>
      </c>
      <c r="Z154" s="34" t="str">
        <f t="shared" si="91"/>
        <v/>
      </c>
      <c r="AA154" s="34" t="str">
        <f t="shared" si="91"/>
        <v/>
      </c>
      <c r="AB154" s="34" t="str">
        <f t="shared" si="91"/>
        <v/>
      </c>
      <c r="AC154" s="34" t="str">
        <f t="shared" si="91"/>
        <v/>
      </c>
      <c r="AD154" s="34" t="str">
        <f t="shared" si="91"/>
        <v/>
      </c>
      <c r="AE154" s="34" t="str">
        <f t="shared" si="91"/>
        <v/>
      </c>
      <c r="AF154" s="34" t="str">
        <f t="shared" si="91"/>
        <v/>
      </c>
      <c r="AG154" s="34" t="str">
        <f t="shared" si="92"/>
        <v/>
      </c>
      <c r="AH154" s="34" t="str">
        <f t="shared" si="92"/>
        <v/>
      </c>
      <c r="AI154" s="34" t="str">
        <f t="shared" si="92"/>
        <v/>
      </c>
      <c r="AJ154" s="34" t="str">
        <f t="shared" si="92"/>
        <v/>
      </c>
      <c r="AK154" s="34" t="str">
        <f t="shared" si="92"/>
        <v/>
      </c>
      <c r="AL154" s="34" t="str">
        <f t="shared" si="92"/>
        <v/>
      </c>
      <c r="AM154" s="34" t="str">
        <f t="shared" si="92"/>
        <v/>
      </c>
      <c r="AN154" s="34" t="str">
        <f t="shared" si="92"/>
        <v/>
      </c>
      <c r="AO154" s="34" t="str">
        <f t="shared" si="92"/>
        <v/>
      </c>
      <c r="AP154" s="34" t="str">
        <f t="shared" si="92"/>
        <v/>
      </c>
      <c r="AQ154" s="34" t="str">
        <f t="shared" si="93"/>
        <v/>
      </c>
      <c r="AR154" s="34" t="str">
        <f t="shared" si="93"/>
        <v/>
      </c>
      <c r="AS154" s="34" t="str">
        <f t="shared" si="93"/>
        <v/>
      </c>
      <c r="AT154" s="34" t="str">
        <f t="shared" si="93"/>
        <v/>
      </c>
      <c r="AU154" s="34" t="str">
        <f t="shared" si="93"/>
        <v/>
      </c>
      <c r="AV154" s="34" t="str">
        <f t="shared" si="93"/>
        <v/>
      </c>
      <c r="AW154" s="34" t="str">
        <f t="shared" si="93"/>
        <v/>
      </c>
      <c r="AX154" s="34" t="str">
        <f t="shared" si="93"/>
        <v/>
      </c>
      <c r="AY154" s="34" t="str">
        <f t="shared" si="93"/>
        <v/>
      </c>
      <c r="AZ154" s="34" t="str">
        <f t="shared" si="93"/>
        <v/>
      </c>
      <c r="BA154" s="34" t="str">
        <f t="shared" si="94"/>
        <v/>
      </c>
      <c r="BB154" s="34" t="str">
        <f t="shared" si="94"/>
        <v/>
      </c>
      <c r="BC154" s="34" t="str">
        <f t="shared" si="94"/>
        <v/>
      </c>
      <c r="BD154" s="34" t="str">
        <f t="shared" si="94"/>
        <v/>
      </c>
      <c r="BE154" s="34" t="str">
        <f t="shared" si="94"/>
        <v/>
      </c>
      <c r="BF154" s="34" t="str">
        <f t="shared" si="94"/>
        <v/>
      </c>
      <c r="BG154" s="34" t="str">
        <f t="shared" si="94"/>
        <v/>
      </c>
      <c r="BH154" s="34" t="str">
        <f t="shared" si="94"/>
        <v/>
      </c>
      <c r="BI154" s="34" t="str">
        <f t="shared" si="94"/>
        <v/>
      </c>
      <c r="BJ154" s="34" t="str">
        <f t="shared" si="94"/>
        <v/>
      </c>
      <c r="BK154" s="34" t="str">
        <f t="shared" si="95"/>
        <v/>
      </c>
      <c r="BL154" s="34" t="str">
        <f t="shared" si="95"/>
        <v/>
      </c>
      <c r="BM154" s="34" t="str">
        <f t="shared" si="95"/>
        <v/>
      </c>
      <c r="BN154" s="34" t="str">
        <f t="shared" si="95"/>
        <v/>
      </c>
      <c r="BO154" s="34" t="str">
        <f t="shared" si="95"/>
        <v/>
      </c>
      <c r="BP154" s="34" t="str">
        <f t="shared" si="95"/>
        <v/>
      </c>
    </row>
    <row r="155" spans="2:68" outlineLevel="1" x14ac:dyDescent="0.25">
      <c r="B155" s="32">
        <f t="shared" si="58"/>
        <v>146</v>
      </c>
      <c r="C155" s="33" t="s">
        <v>5</v>
      </c>
      <c r="D155" s="34" t="s">
        <v>39</v>
      </c>
      <c r="E155" s="34"/>
      <c r="F155" s="40"/>
      <c r="G155" s="33">
        <v>1</v>
      </c>
      <c r="H155" s="35">
        <f t="shared" si="73"/>
        <v>46468</v>
      </c>
      <c r="I155" s="35" cm="1">
        <f t="array" ref="I155">IF(G155&lt;&gt;"",WORKDAY(Start,Duration-1),IF(Type="M",WORKDAY(Start,Duration-1),""))</f>
        <v>46468</v>
      </c>
      <c r="J155" s="44"/>
      <c r="K155" s="47"/>
      <c r="L155" s="34"/>
      <c r="M155" s="36" t="str">
        <f t="shared" si="90"/>
        <v/>
      </c>
      <c r="N155" s="34" t="str">
        <f t="shared" si="90"/>
        <v/>
      </c>
      <c r="O155" s="34" t="str">
        <f t="shared" si="90"/>
        <v/>
      </c>
      <c r="P155" s="34" t="str">
        <f t="shared" si="90"/>
        <v/>
      </c>
      <c r="Q155" s="34" t="str">
        <f t="shared" si="90"/>
        <v/>
      </c>
      <c r="R155" s="34" t="str">
        <f t="shared" si="90"/>
        <v/>
      </c>
      <c r="S155" s="34" t="str">
        <f t="shared" si="90"/>
        <v/>
      </c>
      <c r="T155" s="34" t="str">
        <f t="shared" si="90"/>
        <v/>
      </c>
      <c r="U155" s="34" t="str">
        <f t="shared" si="90"/>
        <v/>
      </c>
      <c r="V155" s="34" t="str">
        <f t="shared" si="90"/>
        <v/>
      </c>
      <c r="W155" s="34" t="str">
        <f t="shared" si="91"/>
        <v/>
      </c>
      <c r="X155" s="34" t="str">
        <f t="shared" si="91"/>
        <v/>
      </c>
      <c r="Y155" s="34" t="str">
        <f t="shared" si="91"/>
        <v/>
      </c>
      <c r="Z155" s="34" t="str">
        <f t="shared" si="91"/>
        <v/>
      </c>
      <c r="AA155" s="34" t="str">
        <f t="shared" si="91"/>
        <v/>
      </c>
      <c r="AB155" s="34" t="str">
        <f t="shared" si="91"/>
        <v/>
      </c>
      <c r="AC155" s="34" t="str">
        <f t="shared" si="91"/>
        <v/>
      </c>
      <c r="AD155" s="34" t="str">
        <f t="shared" si="91"/>
        <v/>
      </c>
      <c r="AE155" s="34" t="str">
        <f t="shared" si="91"/>
        <v/>
      </c>
      <c r="AF155" s="34" t="str">
        <f t="shared" si="91"/>
        <v/>
      </c>
      <c r="AG155" s="34" t="str">
        <f t="shared" si="92"/>
        <v/>
      </c>
      <c r="AH155" s="34" t="str">
        <f t="shared" si="92"/>
        <v/>
      </c>
      <c r="AI155" s="34" t="str">
        <f t="shared" si="92"/>
        <v/>
      </c>
      <c r="AJ155" s="34" t="str">
        <f t="shared" si="92"/>
        <v/>
      </c>
      <c r="AK155" s="34" t="str">
        <f t="shared" si="92"/>
        <v/>
      </c>
      <c r="AL155" s="34" t="str">
        <f t="shared" si="92"/>
        <v/>
      </c>
      <c r="AM155" s="34" t="str">
        <f t="shared" si="92"/>
        <v/>
      </c>
      <c r="AN155" s="34" t="str">
        <f t="shared" si="92"/>
        <v/>
      </c>
      <c r="AO155" s="34" t="str">
        <f t="shared" si="92"/>
        <v/>
      </c>
      <c r="AP155" s="34" t="str">
        <f t="shared" si="92"/>
        <v/>
      </c>
      <c r="AQ155" s="34" t="str">
        <f t="shared" si="93"/>
        <v/>
      </c>
      <c r="AR155" s="34" t="str">
        <f t="shared" si="93"/>
        <v/>
      </c>
      <c r="AS155" s="34" t="str">
        <f t="shared" si="93"/>
        <v/>
      </c>
      <c r="AT155" s="34" t="str">
        <f t="shared" si="93"/>
        <v/>
      </c>
      <c r="AU155" s="34" t="str">
        <f t="shared" si="93"/>
        <v/>
      </c>
      <c r="AV155" s="34" t="str">
        <f t="shared" si="93"/>
        <v/>
      </c>
      <c r="AW155" s="34" t="str">
        <f t="shared" si="93"/>
        <v/>
      </c>
      <c r="AX155" s="34" t="str">
        <f t="shared" si="93"/>
        <v/>
      </c>
      <c r="AY155" s="34" t="str">
        <f t="shared" si="93"/>
        <v/>
      </c>
      <c r="AZ155" s="34" t="str">
        <f t="shared" si="93"/>
        <v/>
      </c>
      <c r="BA155" s="34" t="str">
        <f t="shared" si="94"/>
        <v/>
      </c>
      <c r="BB155" s="34" t="str">
        <f t="shared" si="94"/>
        <v/>
      </c>
      <c r="BC155" s="34" t="str">
        <f t="shared" si="94"/>
        <v/>
      </c>
      <c r="BD155" s="34" t="str">
        <f t="shared" si="94"/>
        <v/>
      </c>
      <c r="BE155" s="34" t="str">
        <f t="shared" si="94"/>
        <v/>
      </c>
      <c r="BF155" s="34" t="str">
        <f t="shared" si="94"/>
        <v/>
      </c>
      <c r="BG155" s="34" t="str">
        <f t="shared" si="94"/>
        <v/>
      </c>
      <c r="BH155" s="34" t="str">
        <f t="shared" si="94"/>
        <v/>
      </c>
      <c r="BI155" s="34" t="str">
        <f t="shared" si="94"/>
        <v/>
      </c>
      <c r="BJ155" s="34" t="str">
        <f t="shared" si="94"/>
        <v/>
      </c>
      <c r="BK155" s="34" t="str">
        <f t="shared" si="95"/>
        <v/>
      </c>
      <c r="BL155" s="34" t="str">
        <f t="shared" si="95"/>
        <v/>
      </c>
      <c r="BM155" s="34" t="str">
        <f t="shared" si="95"/>
        <v/>
      </c>
      <c r="BN155" s="34" t="str">
        <f t="shared" si="95"/>
        <v/>
      </c>
      <c r="BO155" s="34" t="str">
        <f t="shared" si="95"/>
        <v/>
      </c>
      <c r="BP155" s="34" t="str">
        <f t="shared" si="95"/>
        <v/>
      </c>
    </row>
    <row r="156" spans="2:68" outlineLevel="1" x14ac:dyDescent="0.25">
      <c r="B156" s="32">
        <f t="shared" si="58"/>
        <v>147</v>
      </c>
      <c r="C156" s="33" t="s">
        <v>5</v>
      </c>
      <c r="D156" s="34" t="s">
        <v>40</v>
      </c>
      <c r="E156" s="34"/>
      <c r="F156" s="40"/>
      <c r="G156" s="33">
        <v>1</v>
      </c>
      <c r="H156" s="35">
        <f t="shared" si="73"/>
        <v>46469</v>
      </c>
      <c r="I156" s="35" cm="1">
        <f t="array" ref="I156">IF(G156&lt;&gt;"",WORKDAY(Start,Duration-1),IF(Type="M",WORKDAY(Start,Duration-1),""))</f>
        <v>46469</v>
      </c>
      <c r="J156" s="44"/>
      <c r="K156" s="47"/>
      <c r="L156" s="34"/>
      <c r="M156" s="36" t="str">
        <f t="shared" si="90"/>
        <v/>
      </c>
      <c r="N156" s="34" t="str">
        <f t="shared" si="90"/>
        <v/>
      </c>
      <c r="O156" s="34" t="str">
        <f t="shared" si="90"/>
        <v/>
      </c>
      <c r="P156" s="34" t="str">
        <f t="shared" si="90"/>
        <v/>
      </c>
      <c r="Q156" s="34" t="str">
        <f t="shared" si="90"/>
        <v/>
      </c>
      <c r="R156" s="34" t="str">
        <f t="shared" si="90"/>
        <v/>
      </c>
      <c r="S156" s="34" t="str">
        <f t="shared" si="90"/>
        <v/>
      </c>
      <c r="T156" s="34" t="str">
        <f t="shared" si="90"/>
        <v/>
      </c>
      <c r="U156" s="34" t="str">
        <f t="shared" si="90"/>
        <v/>
      </c>
      <c r="V156" s="34" t="str">
        <f t="shared" si="90"/>
        <v/>
      </c>
      <c r="W156" s="34" t="str">
        <f t="shared" si="91"/>
        <v/>
      </c>
      <c r="X156" s="34" t="str">
        <f t="shared" si="91"/>
        <v/>
      </c>
      <c r="Y156" s="34" t="str">
        <f t="shared" si="91"/>
        <v/>
      </c>
      <c r="Z156" s="34" t="str">
        <f t="shared" si="91"/>
        <v/>
      </c>
      <c r="AA156" s="34" t="str">
        <f t="shared" si="91"/>
        <v/>
      </c>
      <c r="AB156" s="34" t="str">
        <f t="shared" si="91"/>
        <v/>
      </c>
      <c r="AC156" s="34" t="str">
        <f t="shared" si="91"/>
        <v/>
      </c>
      <c r="AD156" s="34" t="str">
        <f t="shared" si="91"/>
        <v/>
      </c>
      <c r="AE156" s="34" t="str">
        <f t="shared" si="91"/>
        <v/>
      </c>
      <c r="AF156" s="34" t="str">
        <f t="shared" si="91"/>
        <v/>
      </c>
      <c r="AG156" s="34" t="str">
        <f t="shared" si="92"/>
        <v/>
      </c>
      <c r="AH156" s="34" t="str">
        <f t="shared" si="92"/>
        <v/>
      </c>
      <c r="AI156" s="34" t="str">
        <f t="shared" si="92"/>
        <v/>
      </c>
      <c r="AJ156" s="34" t="str">
        <f t="shared" si="92"/>
        <v/>
      </c>
      <c r="AK156" s="34" t="str">
        <f t="shared" si="92"/>
        <v/>
      </c>
      <c r="AL156" s="34" t="str">
        <f t="shared" si="92"/>
        <v/>
      </c>
      <c r="AM156" s="34" t="str">
        <f t="shared" si="92"/>
        <v/>
      </c>
      <c r="AN156" s="34" t="str">
        <f t="shared" si="92"/>
        <v/>
      </c>
      <c r="AO156" s="34" t="str">
        <f t="shared" si="92"/>
        <v/>
      </c>
      <c r="AP156" s="34" t="str">
        <f t="shared" si="92"/>
        <v/>
      </c>
      <c r="AQ156" s="34" t="str">
        <f t="shared" si="93"/>
        <v/>
      </c>
      <c r="AR156" s="34" t="str">
        <f t="shared" si="93"/>
        <v/>
      </c>
      <c r="AS156" s="34" t="str">
        <f t="shared" si="93"/>
        <v/>
      </c>
      <c r="AT156" s="34" t="str">
        <f t="shared" si="93"/>
        <v/>
      </c>
      <c r="AU156" s="34" t="str">
        <f t="shared" si="93"/>
        <v/>
      </c>
      <c r="AV156" s="34" t="str">
        <f t="shared" si="93"/>
        <v/>
      </c>
      <c r="AW156" s="34" t="str">
        <f t="shared" si="93"/>
        <v/>
      </c>
      <c r="AX156" s="34" t="str">
        <f t="shared" si="93"/>
        <v/>
      </c>
      <c r="AY156" s="34" t="str">
        <f t="shared" si="93"/>
        <v/>
      </c>
      <c r="AZ156" s="34" t="str">
        <f t="shared" si="93"/>
        <v/>
      </c>
      <c r="BA156" s="34" t="str">
        <f t="shared" si="94"/>
        <v/>
      </c>
      <c r="BB156" s="34" t="str">
        <f t="shared" si="94"/>
        <v/>
      </c>
      <c r="BC156" s="34" t="str">
        <f t="shared" si="94"/>
        <v/>
      </c>
      <c r="BD156" s="34" t="str">
        <f t="shared" si="94"/>
        <v/>
      </c>
      <c r="BE156" s="34" t="str">
        <f t="shared" si="94"/>
        <v/>
      </c>
      <c r="BF156" s="34" t="str">
        <f t="shared" si="94"/>
        <v/>
      </c>
      <c r="BG156" s="34" t="str">
        <f t="shared" si="94"/>
        <v/>
      </c>
      <c r="BH156" s="34" t="str">
        <f t="shared" si="94"/>
        <v/>
      </c>
      <c r="BI156" s="34" t="str">
        <f t="shared" si="94"/>
        <v/>
      </c>
      <c r="BJ156" s="34" t="str">
        <f t="shared" si="94"/>
        <v/>
      </c>
      <c r="BK156" s="34" t="str">
        <f t="shared" si="95"/>
        <v/>
      </c>
      <c r="BL156" s="34" t="str">
        <f t="shared" si="95"/>
        <v/>
      </c>
      <c r="BM156" s="34" t="str">
        <f t="shared" si="95"/>
        <v/>
      </c>
      <c r="BN156" s="34" t="str">
        <f t="shared" si="95"/>
        <v/>
      </c>
      <c r="BO156" s="34" t="str">
        <f t="shared" si="95"/>
        <v/>
      </c>
      <c r="BP156" s="34" t="str">
        <f t="shared" si="95"/>
        <v/>
      </c>
    </row>
    <row r="157" spans="2:68" outlineLevel="1" x14ac:dyDescent="0.25">
      <c r="B157" s="32">
        <f t="shared" si="58"/>
        <v>148</v>
      </c>
      <c r="C157" s="33" t="s">
        <v>5</v>
      </c>
      <c r="D157" s="34" t="s">
        <v>76</v>
      </c>
      <c r="E157" s="34"/>
      <c r="F157" s="40"/>
      <c r="G157" s="33">
        <v>1</v>
      </c>
      <c r="H157" s="35">
        <f t="shared" si="73"/>
        <v>46470</v>
      </c>
      <c r="I157" s="35" cm="1">
        <f t="array" ref="I157">IF(G157&lt;&gt;"",WORKDAY(Start,Duration-1),IF(Type="M",WORKDAY(Start,Duration-1),""))</f>
        <v>46470</v>
      </c>
      <c r="J157" s="44"/>
      <c r="K157" s="47"/>
      <c r="L157" s="34"/>
      <c r="M157" s="36" t="str">
        <f t="shared" si="90"/>
        <v/>
      </c>
      <c r="N157" s="34" t="str">
        <f t="shared" si="90"/>
        <v/>
      </c>
      <c r="O157" s="34" t="str">
        <f t="shared" si="90"/>
        <v/>
      </c>
      <c r="P157" s="34" t="str">
        <f t="shared" si="90"/>
        <v/>
      </c>
      <c r="Q157" s="34" t="str">
        <f t="shared" si="90"/>
        <v/>
      </c>
      <c r="R157" s="34" t="str">
        <f t="shared" si="90"/>
        <v/>
      </c>
      <c r="S157" s="34" t="str">
        <f t="shared" si="90"/>
        <v/>
      </c>
      <c r="T157" s="34" t="str">
        <f t="shared" si="90"/>
        <v/>
      </c>
      <c r="U157" s="34" t="str">
        <f t="shared" si="90"/>
        <v/>
      </c>
      <c r="V157" s="34" t="str">
        <f t="shared" si="90"/>
        <v/>
      </c>
      <c r="W157" s="34" t="str">
        <f t="shared" si="91"/>
        <v/>
      </c>
      <c r="X157" s="34" t="str">
        <f t="shared" si="91"/>
        <v/>
      </c>
      <c r="Y157" s="34" t="str">
        <f t="shared" si="91"/>
        <v/>
      </c>
      <c r="Z157" s="34" t="str">
        <f t="shared" si="91"/>
        <v/>
      </c>
      <c r="AA157" s="34" t="str">
        <f t="shared" si="91"/>
        <v/>
      </c>
      <c r="AB157" s="34" t="str">
        <f t="shared" si="91"/>
        <v/>
      </c>
      <c r="AC157" s="34" t="str">
        <f t="shared" si="91"/>
        <v/>
      </c>
      <c r="AD157" s="34" t="str">
        <f t="shared" si="91"/>
        <v/>
      </c>
      <c r="AE157" s="34" t="str">
        <f t="shared" si="91"/>
        <v/>
      </c>
      <c r="AF157" s="34" t="str">
        <f t="shared" si="91"/>
        <v/>
      </c>
      <c r="AG157" s="34" t="str">
        <f t="shared" si="92"/>
        <v/>
      </c>
      <c r="AH157" s="34" t="str">
        <f t="shared" si="92"/>
        <v/>
      </c>
      <c r="AI157" s="34" t="str">
        <f t="shared" si="92"/>
        <v/>
      </c>
      <c r="AJ157" s="34" t="str">
        <f t="shared" si="92"/>
        <v/>
      </c>
      <c r="AK157" s="34" t="str">
        <f t="shared" si="92"/>
        <v/>
      </c>
      <c r="AL157" s="34" t="str">
        <f t="shared" si="92"/>
        <v/>
      </c>
      <c r="AM157" s="34" t="str">
        <f t="shared" si="92"/>
        <v/>
      </c>
      <c r="AN157" s="34" t="str">
        <f t="shared" si="92"/>
        <v/>
      </c>
      <c r="AO157" s="34" t="str">
        <f t="shared" si="92"/>
        <v/>
      </c>
      <c r="AP157" s="34" t="str">
        <f t="shared" si="92"/>
        <v/>
      </c>
      <c r="AQ157" s="34" t="str">
        <f t="shared" si="93"/>
        <v/>
      </c>
      <c r="AR157" s="34" t="str">
        <f t="shared" si="93"/>
        <v/>
      </c>
      <c r="AS157" s="34" t="str">
        <f t="shared" si="93"/>
        <v/>
      </c>
      <c r="AT157" s="34" t="str">
        <f t="shared" si="93"/>
        <v/>
      </c>
      <c r="AU157" s="34" t="str">
        <f t="shared" si="93"/>
        <v/>
      </c>
      <c r="AV157" s="34" t="str">
        <f t="shared" si="93"/>
        <v/>
      </c>
      <c r="AW157" s="34" t="str">
        <f t="shared" si="93"/>
        <v/>
      </c>
      <c r="AX157" s="34" t="str">
        <f t="shared" si="93"/>
        <v/>
      </c>
      <c r="AY157" s="34" t="str">
        <f t="shared" si="93"/>
        <v/>
      </c>
      <c r="AZ157" s="34" t="str">
        <f t="shared" si="93"/>
        <v/>
      </c>
      <c r="BA157" s="34" t="str">
        <f t="shared" si="94"/>
        <v/>
      </c>
      <c r="BB157" s="34" t="str">
        <f t="shared" si="94"/>
        <v/>
      </c>
      <c r="BC157" s="34" t="str">
        <f t="shared" si="94"/>
        <v/>
      </c>
      <c r="BD157" s="34" t="str">
        <f t="shared" si="94"/>
        <v/>
      </c>
      <c r="BE157" s="34" t="str">
        <f t="shared" si="94"/>
        <v/>
      </c>
      <c r="BF157" s="34" t="str">
        <f t="shared" si="94"/>
        <v/>
      </c>
      <c r="BG157" s="34" t="str">
        <f t="shared" si="94"/>
        <v/>
      </c>
      <c r="BH157" s="34" t="str">
        <f t="shared" si="94"/>
        <v/>
      </c>
      <c r="BI157" s="34" t="str">
        <f t="shared" si="94"/>
        <v/>
      </c>
      <c r="BJ157" s="34" t="str">
        <f t="shared" si="94"/>
        <v/>
      </c>
      <c r="BK157" s="34" t="str">
        <f t="shared" si="95"/>
        <v/>
      </c>
      <c r="BL157" s="34" t="str">
        <f t="shared" si="95"/>
        <v/>
      </c>
      <c r="BM157" s="34" t="str">
        <f t="shared" si="95"/>
        <v/>
      </c>
      <c r="BN157" s="34" t="str">
        <f t="shared" si="95"/>
        <v/>
      </c>
      <c r="BO157" s="34" t="str">
        <f t="shared" si="95"/>
        <v/>
      </c>
      <c r="BP157" s="34" t="str">
        <f t="shared" si="95"/>
        <v/>
      </c>
    </row>
    <row r="158" spans="2:68" outlineLevel="1" x14ac:dyDescent="0.25">
      <c r="B158" s="32">
        <f t="shared" si="58"/>
        <v>149</v>
      </c>
      <c r="C158" s="33" t="s">
        <v>5</v>
      </c>
      <c r="D158" s="34" t="s">
        <v>77</v>
      </c>
      <c r="E158" s="34"/>
      <c r="F158" s="40"/>
      <c r="G158" s="33">
        <v>5</v>
      </c>
      <c r="H158" s="35">
        <f t="shared" si="73"/>
        <v>46471</v>
      </c>
      <c r="I158" s="35" cm="1">
        <f t="array" ref="I158">IF(G158&lt;&gt;"",WORKDAY(Start,Duration-1),IF(Type="M",WORKDAY(Start,Duration-1),""))</f>
        <v>46477</v>
      </c>
      <c r="J158" s="44"/>
      <c r="K158" s="47"/>
      <c r="L158" s="34"/>
      <c r="M158" s="36" t="str">
        <f t="shared" si="90"/>
        <v/>
      </c>
      <c r="N158" s="34" t="str">
        <f t="shared" si="90"/>
        <v/>
      </c>
      <c r="O158" s="34" t="str">
        <f t="shared" si="90"/>
        <v/>
      </c>
      <c r="P158" s="34" t="str">
        <f t="shared" si="90"/>
        <v/>
      </c>
      <c r="Q158" s="34" t="str">
        <f t="shared" si="90"/>
        <v/>
      </c>
      <c r="R158" s="34" t="str">
        <f t="shared" si="90"/>
        <v/>
      </c>
      <c r="S158" s="34" t="str">
        <f t="shared" si="90"/>
        <v/>
      </c>
      <c r="T158" s="34" t="str">
        <f t="shared" si="90"/>
        <v/>
      </c>
      <c r="U158" s="34" t="str">
        <f t="shared" si="90"/>
        <v/>
      </c>
      <c r="V158" s="34" t="str">
        <f t="shared" si="90"/>
        <v/>
      </c>
      <c r="W158" s="34" t="str">
        <f t="shared" si="91"/>
        <v/>
      </c>
      <c r="X158" s="34" t="str">
        <f t="shared" si="91"/>
        <v/>
      </c>
      <c r="Y158" s="34" t="str">
        <f t="shared" si="91"/>
        <v/>
      </c>
      <c r="Z158" s="34" t="str">
        <f t="shared" si="91"/>
        <v/>
      </c>
      <c r="AA158" s="34" t="str">
        <f t="shared" si="91"/>
        <v/>
      </c>
      <c r="AB158" s="34" t="str">
        <f t="shared" si="91"/>
        <v/>
      </c>
      <c r="AC158" s="34" t="str">
        <f t="shared" si="91"/>
        <v/>
      </c>
      <c r="AD158" s="34" t="str">
        <f t="shared" si="91"/>
        <v/>
      </c>
      <c r="AE158" s="34" t="str">
        <f t="shared" si="91"/>
        <v/>
      </c>
      <c r="AF158" s="34" t="str">
        <f t="shared" si="91"/>
        <v/>
      </c>
      <c r="AG158" s="34" t="str">
        <f t="shared" si="92"/>
        <v/>
      </c>
      <c r="AH158" s="34" t="str">
        <f t="shared" si="92"/>
        <v/>
      </c>
      <c r="AI158" s="34" t="str">
        <f t="shared" si="92"/>
        <v/>
      </c>
      <c r="AJ158" s="34" t="str">
        <f t="shared" si="92"/>
        <v/>
      </c>
      <c r="AK158" s="34" t="str">
        <f t="shared" si="92"/>
        <v/>
      </c>
      <c r="AL158" s="34" t="str">
        <f t="shared" si="92"/>
        <v/>
      </c>
      <c r="AM158" s="34" t="str">
        <f t="shared" si="92"/>
        <v/>
      </c>
      <c r="AN158" s="34" t="str">
        <f t="shared" si="92"/>
        <v/>
      </c>
      <c r="AO158" s="34" t="str">
        <f t="shared" si="92"/>
        <v/>
      </c>
      <c r="AP158" s="34" t="str">
        <f t="shared" si="92"/>
        <v/>
      </c>
      <c r="AQ158" s="34" t="str">
        <f t="shared" si="93"/>
        <v/>
      </c>
      <c r="AR158" s="34" t="str">
        <f t="shared" si="93"/>
        <v/>
      </c>
      <c r="AS158" s="34" t="str">
        <f t="shared" si="93"/>
        <v/>
      </c>
      <c r="AT158" s="34" t="str">
        <f t="shared" si="93"/>
        <v/>
      </c>
      <c r="AU158" s="34" t="str">
        <f t="shared" si="93"/>
        <v/>
      </c>
      <c r="AV158" s="34" t="str">
        <f t="shared" si="93"/>
        <v/>
      </c>
      <c r="AW158" s="34" t="str">
        <f t="shared" si="93"/>
        <v/>
      </c>
      <c r="AX158" s="34" t="str">
        <f t="shared" si="93"/>
        <v/>
      </c>
      <c r="AY158" s="34" t="str">
        <f t="shared" si="93"/>
        <v/>
      </c>
      <c r="AZ158" s="34" t="str">
        <f t="shared" si="93"/>
        <v/>
      </c>
      <c r="BA158" s="34" t="str">
        <f t="shared" si="94"/>
        <v/>
      </c>
      <c r="BB158" s="34" t="str">
        <f t="shared" si="94"/>
        <v/>
      </c>
      <c r="BC158" s="34" t="str">
        <f t="shared" si="94"/>
        <v/>
      </c>
      <c r="BD158" s="34" t="str">
        <f t="shared" si="94"/>
        <v/>
      </c>
      <c r="BE158" s="34" t="str">
        <f t="shared" si="94"/>
        <v/>
      </c>
      <c r="BF158" s="34" t="str">
        <f t="shared" si="94"/>
        <v/>
      </c>
      <c r="BG158" s="34" t="str">
        <f t="shared" si="94"/>
        <v/>
      </c>
      <c r="BH158" s="34" t="str">
        <f t="shared" si="94"/>
        <v/>
      </c>
      <c r="BI158" s="34" t="str">
        <f t="shared" si="94"/>
        <v/>
      </c>
      <c r="BJ158" s="34" t="str">
        <f t="shared" si="94"/>
        <v/>
      </c>
      <c r="BK158" s="34" t="str">
        <f t="shared" si="95"/>
        <v/>
      </c>
      <c r="BL158" s="34" t="str">
        <f t="shared" si="95"/>
        <v/>
      </c>
      <c r="BM158" s="34" t="str">
        <f t="shared" si="95"/>
        <v/>
      </c>
      <c r="BN158" s="34" t="str">
        <f t="shared" si="95"/>
        <v/>
      </c>
      <c r="BO158" s="34" t="str">
        <f t="shared" si="95"/>
        <v/>
      </c>
      <c r="BP158" s="34" t="str">
        <f t="shared" si="95"/>
        <v/>
      </c>
    </row>
    <row r="159" spans="2:68" outlineLevel="1" x14ac:dyDescent="0.25">
      <c r="B159" s="32">
        <f t="shared" si="58"/>
        <v>150</v>
      </c>
      <c r="C159" s="33" t="s">
        <v>5</v>
      </c>
      <c r="D159" s="34" t="s">
        <v>78</v>
      </c>
      <c r="E159" s="34"/>
      <c r="F159" s="40"/>
      <c r="G159" s="33">
        <v>1</v>
      </c>
      <c r="H159" s="35">
        <f t="shared" si="73"/>
        <v>46478</v>
      </c>
      <c r="I159" s="35" cm="1">
        <f t="array" ref="I159">IF(G159&lt;&gt;"",WORKDAY(Start,Duration-1),IF(Type="M",WORKDAY(Start,Duration-1),""))</f>
        <v>46478</v>
      </c>
      <c r="J159" s="44"/>
      <c r="K159" s="47"/>
      <c r="L159" s="34"/>
      <c r="M159" s="36"/>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t="str">
        <f t="shared" si="93"/>
        <v/>
      </c>
      <c r="AW159" s="34" t="str">
        <f t="shared" si="93"/>
        <v/>
      </c>
      <c r="AX159" s="34" t="str">
        <f t="shared" si="93"/>
        <v/>
      </c>
      <c r="AY159" s="34" t="str">
        <f t="shared" si="93"/>
        <v/>
      </c>
      <c r="AZ159" s="34" t="str">
        <f t="shared" si="93"/>
        <v/>
      </c>
      <c r="BA159" s="34"/>
      <c r="BB159" s="34"/>
      <c r="BC159" s="34"/>
      <c r="BD159" s="34"/>
      <c r="BE159" s="34"/>
      <c r="BF159" s="34"/>
      <c r="BG159" s="34"/>
      <c r="BH159" s="34"/>
      <c r="BI159" s="34"/>
      <c r="BJ159" s="34"/>
      <c r="BK159" s="34"/>
      <c r="BL159" s="34"/>
      <c r="BM159" s="34"/>
      <c r="BN159" s="34"/>
      <c r="BO159" s="34"/>
      <c r="BP159" s="34"/>
    </row>
    <row r="160" spans="2:68" outlineLevel="1" x14ac:dyDescent="0.25">
      <c r="B160" s="32">
        <f t="shared" si="58"/>
        <v>151</v>
      </c>
      <c r="C160" s="33" t="s">
        <v>5</v>
      </c>
      <c r="D160" s="34" t="s">
        <v>79</v>
      </c>
      <c r="E160" s="34"/>
      <c r="F160" s="40"/>
      <c r="G160" s="33">
        <v>5</v>
      </c>
      <c r="H160" s="35">
        <f t="shared" si="73"/>
        <v>46479</v>
      </c>
      <c r="I160" s="35" cm="1">
        <f t="array" ref="I160">IF(G160&lt;&gt;"",WORKDAY(Start,Duration-1),IF(Type="M",WORKDAY(Start,Duration-1),""))</f>
        <v>46485</v>
      </c>
      <c r="J160" s="44"/>
      <c r="K160" s="47"/>
      <c r="L160" s="34"/>
      <c r="M160" s="36"/>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t="str">
        <f t="shared" si="93"/>
        <v/>
      </c>
      <c r="AW160" s="34" t="str">
        <f t="shared" si="93"/>
        <v/>
      </c>
      <c r="AX160" s="34" t="str">
        <f t="shared" si="93"/>
        <v/>
      </c>
      <c r="AY160" s="34" t="str">
        <f t="shared" si="93"/>
        <v/>
      </c>
      <c r="AZ160" s="34" t="str">
        <f t="shared" si="93"/>
        <v/>
      </c>
      <c r="BA160" s="34"/>
      <c r="BB160" s="34"/>
      <c r="BC160" s="34"/>
      <c r="BD160" s="34"/>
      <c r="BE160" s="34"/>
      <c r="BF160" s="34"/>
      <c r="BG160" s="34"/>
      <c r="BH160" s="34"/>
      <c r="BI160" s="34"/>
      <c r="BJ160" s="34"/>
      <c r="BK160" s="34"/>
      <c r="BL160" s="34"/>
      <c r="BM160" s="34"/>
      <c r="BN160" s="34"/>
      <c r="BO160" s="34"/>
      <c r="BP160" s="34"/>
    </row>
    <row r="161" spans="2:68" outlineLevel="1" x14ac:dyDescent="0.25">
      <c r="B161" s="32">
        <f t="shared" si="58"/>
        <v>152</v>
      </c>
      <c r="C161" s="33" t="s">
        <v>5</v>
      </c>
      <c r="D161" s="34" t="s">
        <v>684</v>
      </c>
      <c r="E161" s="34"/>
      <c r="F161" s="40"/>
      <c r="G161" s="33">
        <v>2</v>
      </c>
      <c r="H161" s="35">
        <f t="shared" si="73"/>
        <v>46486</v>
      </c>
      <c r="I161" s="35" cm="1">
        <f t="array" ref="I161">IF(G161&lt;&gt;"",WORKDAY(Start,Duration-1),IF(Type="M",WORKDAY(Start,Duration-1),""))</f>
        <v>46489</v>
      </c>
      <c r="J161" s="44"/>
      <c r="K161" s="47"/>
      <c r="L161" s="34"/>
      <c r="M161" s="36"/>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row>
    <row r="162" spans="2:68" outlineLevel="1" x14ac:dyDescent="0.25">
      <c r="B162" s="32">
        <v>153</v>
      </c>
      <c r="C162" s="33" t="s">
        <v>6</v>
      </c>
      <c r="D162" s="34" t="s">
        <v>54</v>
      </c>
      <c r="E162" s="34"/>
      <c r="F162" s="40"/>
      <c r="G162" s="33"/>
      <c r="H162" s="35">
        <f t="shared" si="73"/>
        <v>46489</v>
      </c>
      <c r="I162" s="35" cm="1">
        <f t="array" ref="I162">IF(G162&lt;&gt;"",WORKDAY(Start,Duration-1),IF(Type="M",WORKDAY(Start,Duration-1),""))</f>
        <v>46489</v>
      </c>
      <c r="J162" s="44">
        <f>1*(J160=1)</f>
        <v>0</v>
      </c>
      <c r="K162" s="47"/>
      <c r="L162" s="34" t="s">
        <v>36</v>
      </c>
      <c r="M162" s="36" t="str">
        <f t="shared" si="90"/>
        <v/>
      </c>
      <c r="N162" s="34" t="str">
        <f t="shared" si="90"/>
        <v/>
      </c>
      <c r="O162" s="34" t="str">
        <f t="shared" si="90"/>
        <v/>
      </c>
      <c r="P162" s="34" t="str">
        <f t="shared" si="90"/>
        <v/>
      </c>
      <c r="Q162" s="34" t="str">
        <f t="shared" si="90"/>
        <v/>
      </c>
      <c r="R162" s="34" t="str">
        <f t="shared" si="90"/>
        <v/>
      </c>
      <c r="S162" s="34" t="str">
        <f t="shared" si="90"/>
        <v/>
      </c>
      <c r="T162" s="34" t="str">
        <f t="shared" si="90"/>
        <v/>
      </c>
      <c r="U162" s="34" t="str">
        <f t="shared" si="90"/>
        <v/>
      </c>
      <c r="V162" s="34" t="str">
        <f t="shared" si="90"/>
        <v/>
      </c>
      <c r="W162" s="34" t="str">
        <f t="shared" si="91"/>
        <v/>
      </c>
      <c r="X162" s="34" t="str">
        <f t="shared" si="91"/>
        <v/>
      </c>
      <c r="Y162" s="34" t="str">
        <f t="shared" si="91"/>
        <v/>
      </c>
      <c r="Z162" s="34" t="str">
        <f t="shared" si="91"/>
        <v/>
      </c>
      <c r="AA162" s="34" t="str">
        <f t="shared" si="91"/>
        <v/>
      </c>
      <c r="AB162" s="34" t="str">
        <f t="shared" si="91"/>
        <v/>
      </c>
      <c r="AC162" s="34" t="str">
        <f t="shared" si="91"/>
        <v/>
      </c>
      <c r="AD162" s="34" t="str">
        <f t="shared" si="91"/>
        <v/>
      </c>
      <c r="AE162" s="34" t="str">
        <f t="shared" si="91"/>
        <v/>
      </c>
      <c r="AF162" s="34" t="str">
        <f t="shared" si="91"/>
        <v/>
      </c>
      <c r="AG162" s="34" t="str">
        <f t="shared" si="92"/>
        <v/>
      </c>
      <c r="AH162" s="34" t="str">
        <f t="shared" si="92"/>
        <v/>
      </c>
      <c r="AI162" s="34" t="str">
        <f t="shared" si="92"/>
        <v/>
      </c>
      <c r="AJ162" s="34" t="str">
        <f t="shared" si="92"/>
        <v/>
      </c>
      <c r="AK162" s="34" t="str">
        <f t="shared" si="92"/>
        <v/>
      </c>
      <c r="AL162" s="34" t="str">
        <f t="shared" si="92"/>
        <v/>
      </c>
      <c r="AM162" s="34" t="str">
        <f t="shared" si="92"/>
        <v/>
      </c>
      <c r="AN162" s="34" t="str">
        <f t="shared" si="92"/>
        <v/>
      </c>
      <c r="AO162" s="34" t="str">
        <f t="shared" si="92"/>
        <v/>
      </c>
      <c r="AP162" s="34" t="str">
        <f t="shared" si="92"/>
        <v/>
      </c>
      <c r="AQ162" s="34" t="str">
        <f t="shared" si="93"/>
        <v/>
      </c>
      <c r="AR162" s="34" t="str">
        <f t="shared" si="93"/>
        <v/>
      </c>
      <c r="AS162" s="34" t="str">
        <f t="shared" si="93"/>
        <v/>
      </c>
      <c r="AT162" s="34" t="str">
        <f t="shared" si="93"/>
        <v/>
      </c>
      <c r="AU162" s="34" t="str">
        <f t="shared" si="93"/>
        <v/>
      </c>
      <c r="AV162" s="34" t="str">
        <f t="shared" si="93"/>
        <v/>
      </c>
      <c r="AW162" s="34" t="str">
        <f t="shared" si="93"/>
        <v/>
      </c>
      <c r="AX162" s="34" t="str">
        <f t="shared" si="93"/>
        <v/>
      </c>
      <c r="AY162" s="34" t="str">
        <f t="shared" si="93"/>
        <v/>
      </c>
      <c r="AZ162" s="34" t="str">
        <f t="shared" si="93"/>
        <v/>
      </c>
      <c r="BA162" s="34" t="str">
        <f t="shared" si="94"/>
        <v/>
      </c>
      <c r="BB162" s="34" t="str">
        <f t="shared" si="94"/>
        <v/>
      </c>
      <c r="BC162" s="34" t="str">
        <f t="shared" si="94"/>
        <v/>
      </c>
      <c r="BD162" s="34" t="str">
        <f t="shared" si="94"/>
        <v/>
      </c>
      <c r="BE162" s="34" t="str">
        <f t="shared" si="94"/>
        <v/>
      </c>
      <c r="BF162" s="34" t="str">
        <f t="shared" si="94"/>
        <v/>
      </c>
      <c r="BG162" s="34" t="str">
        <f t="shared" si="94"/>
        <v/>
      </c>
      <c r="BH162" s="34" t="str">
        <f t="shared" si="94"/>
        <v/>
      </c>
      <c r="BI162" s="34" t="str">
        <f t="shared" si="94"/>
        <v/>
      </c>
      <c r="BJ162" s="34" t="str">
        <f t="shared" si="94"/>
        <v/>
      </c>
      <c r="BK162" s="34" t="str">
        <f t="shared" si="95"/>
        <v/>
      </c>
      <c r="BL162" s="34" t="str">
        <f t="shared" si="95"/>
        <v/>
      </c>
      <c r="BM162" s="34" t="str">
        <f t="shared" si="95"/>
        <v/>
      </c>
      <c r="BN162" s="34" t="str">
        <f t="shared" si="95"/>
        <v/>
      </c>
      <c r="BO162" s="34" t="str">
        <f t="shared" si="95"/>
        <v/>
      </c>
      <c r="BP162" s="34" t="str">
        <f t="shared" si="95"/>
        <v/>
      </c>
    </row>
    <row r="163" spans="2:68" x14ac:dyDescent="0.25">
      <c r="H163" s="35"/>
      <c r="M163" s="2" t="str">
        <f t="shared" si="90"/>
        <v/>
      </c>
      <c r="N163" s="2" t="str">
        <f t="shared" si="90"/>
        <v/>
      </c>
      <c r="O163" s="2" t="str">
        <f t="shared" si="90"/>
        <v/>
      </c>
      <c r="P163" s="2" t="str">
        <f t="shared" si="90"/>
        <v/>
      </c>
      <c r="Q163" s="2" t="str">
        <f t="shared" si="90"/>
        <v/>
      </c>
      <c r="R163" s="2" t="str">
        <f t="shared" si="90"/>
        <v/>
      </c>
      <c r="S163" s="2" t="str">
        <f t="shared" si="90"/>
        <v/>
      </c>
      <c r="T163" s="2" t="str">
        <f t="shared" si="90"/>
        <v/>
      </c>
      <c r="U163" s="2" t="str">
        <f t="shared" si="90"/>
        <v/>
      </c>
      <c r="V163" s="2" t="str">
        <f t="shared" si="90"/>
        <v/>
      </c>
      <c r="W163" s="2" t="str">
        <f t="shared" si="91"/>
        <v/>
      </c>
      <c r="X163" s="2" t="str">
        <f t="shared" si="91"/>
        <v/>
      </c>
      <c r="Y163" s="2" t="str">
        <f t="shared" si="91"/>
        <v/>
      </c>
      <c r="Z163" s="2" t="str">
        <f t="shared" si="91"/>
        <v/>
      </c>
      <c r="AA163" s="2" t="str">
        <f t="shared" si="91"/>
        <v/>
      </c>
      <c r="AB163" s="2" t="str">
        <f t="shared" si="91"/>
        <v/>
      </c>
      <c r="AC163" s="2" t="str">
        <f t="shared" si="91"/>
        <v/>
      </c>
      <c r="AD163" s="2" t="str">
        <f t="shared" si="91"/>
        <v/>
      </c>
      <c r="AE163" s="2" t="str">
        <f t="shared" si="91"/>
        <v/>
      </c>
      <c r="AF163" s="2" t="str">
        <f t="shared" si="91"/>
        <v/>
      </c>
      <c r="AG163" s="2" t="str">
        <f t="shared" si="92"/>
        <v/>
      </c>
      <c r="AH163" s="2" t="str">
        <f t="shared" si="92"/>
        <v/>
      </c>
      <c r="AI163" s="2" t="str">
        <f t="shared" si="92"/>
        <v/>
      </c>
      <c r="AJ163" s="2" t="str">
        <f t="shared" si="92"/>
        <v/>
      </c>
      <c r="AK163" s="2" t="str">
        <f t="shared" si="92"/>
        <v/>
      </c>
      <c r="AL163" s="2" t="str">
        <f t="shared" si="92"/>
        <v/>
      </c>
      <c r="AM163" s="2" t="str">
        <f t="shared" si="92"/>
        <v/>
      </c>
      <c r="AN163" s="2" t="str">
        <f t="shared" si="92"/>
        <v/>
      </c>
      <c r="AO163" s="2" t="str">
        <f t="shared" si="92"/>
        <v/>
      </c>
      <c r="AP163" s="2" t="str">
        <f t="shared" si="92"/>
        <v/>
      </c>
      <c r="AQ163" s="2" t="str">
        <f t="shared" si="93"/>
        <v/>
      </c>
      <c r="AR163" s="2" t="str">
        <f t="shared" si="93"/>
        <v/>
      </c>
      <c r="AS163" s="2" t="str">
        <f t="shared" si="93"/>
        <v/>
      </c>
      <c r="AT163" s="2" t="str">
        <f t="shared" si="93"/>
        <v/>
      </c>
      <c r="AU163" s="2" t="str">
        <f t="shared" si="93"/>
        <v/>
      </c>
      <c r="AV163" s="2" t="str">
        <f t="shared" si="93"/>
        <v/>
      </c>
      <c r="AW163" s="2" t="str">
        <f t="shared" si="93"/>
        <v/>
      </c>
      <c r="AX163" s="2" t="str">
        <f t="shared" si="93"/>
        <v/>
      </c>
      <c r="AY163" s="2" t="str">
        <f t="shared" si="93"/>
        <v/>
      </c>
      <c r="AZ163" s="2" t="str">
        <f t="shared" si="93"/>
        <v/>
      </c>
      <c r="BA163" s="2" t="str">
        <f t="shared" si="94"/>
        <v/>
      </c>
      <c r="BB163" s="2" t="str">
        <f t="shared" si="94"/>
        <v/>
      </c>
      <c r="BC163" s="2" t="str">
        <f t="shared" si="94"/>
        <v/>
      </c>
      <c r="BD163" s="2" t="str">
        <f t="shared" si="94"/>
        <v/>
      </c>
      <c r="BE163" s="2" t="str">
        <f t="shared" si="94"/>
        <v/>
      </c>
      <c r="BF163" s="2" t="str">
        <f t="shared" si="94"/>
        <v/>
      </c>
      <c r="BG163" s="2" t="str">
        <f t="shared" si="94"/>
        <v/>
      </c>
      <c r="BH163" s="2" t="str">
        <f t="shared" si="94"/>
        <v/>
      </c>
      <c r="BI163" s="2" t="str">
        <f t="shared" si="94"/>
        <v/>
      </c>
      <c r="BJ163" s="2" t="str">
        <f t="shared" si="94"/>
        <v/>
      </c>
      <c r="BK163" s="2" t="str">
        <f t="shared" si="95"/>
        <v/>
      </c>
      <c r="BL163" s="2" t="str">
        <f t="shared" si="95"/>
        <v/>
      </c>
      <c r="BM163" s="2" t="str">
        <f t="shared" si="95"/>
        <v/>
      </c>
      <c r="BN163" s="2" t="str">
        <f t="shared" si="95"/>
        <v/>
      </c>
      <c r="BO163" s="2" t="str">
        <f t="shared" si="95"/>
        <v/>
      </c>
      <c r="BP163" s="2" t="str">
        <f t="shared" si="95"/>
        <v/>
      </c>
    </row>
  </sheetData>
  <mergeCells count="9">
    <mergeCell ref="B2:D2"/>
    <mergeCell ref="BC6:BI6"/>
    <mergeCell ref="BJ6:BP6"/>
    <mergeCell ref="M6:S6"/>
    <mergeCell ref="T6:Z6"/>
    <mergeCell ref="AA6:AG6"/>
    <mergeCell ref="AH6:AN6"/>
    <mergeCell ref="AO6:AU6"/>
    <mergeCell ref="AV6:BB6"/>
  </mergeCells>
  <conditionalFormatting sqref="B10:BP12 B13:G13 C14:G104 E105:G105 B106:BP162 M12:Q71 T12:X71 AA12:AE71 AH12:AL71 AO12:AS71 AV12:AZ71 BC12:BG71 H13:BP105 B13:B163 C105 H163">
    <cfRule type="expression" dxfId="7" priority="17">
      <formula>Type="S"</formula>
    </cfRule>
  </conditionalFormatting>
  <conditionalFormatting sqref="E10:E162">
    <cfRule type="expression" dxfId="6" priority="9">
      <formula>Type="S"</formula>
    </cfRule>
    <cfRule type="expression" dxfId="5" priority="16">
      <formula>OR(Type="T",Type="M")</formula>
    </cfRule>
  </conditionalFormatting>
  <conditionalFormatting sqref="J10:K26 K22:K35 J23:J35 J35:K162">
    <cfRule type="dataBar" priority="15">
      <dataBar>
        <cfvo type="num" val="0"/>
        <cfvo type="num" val="1"/>
        <color rgb="FFFF99C0"/>
      </dataBar>
      <extLst>
        <ext xmlns:x14="http://schemas.microsoft.com/office/spreadsheetml/2009/9/main" uri="{B025F937-C7B1-47D3-B67F-A62EFF666E3E}">
          <x14:id>{F73F326F-888A-284E-9A3B-DEF94086E0C7}</x14:id>
        </ext>
      </extLst>
    </cfRule>
  </conditionalFormatting>
  <conditionalFormatting sqref="M7:BP7">
    <cfRule type="expression" dxfId="4" priority="11">
      <formula>Date=TODAY()</formula>
    </cfRule>
  </conditionalFormatting>
  <conditionalFormatting sqref="M10:BP162 M7:BP7">
    <cfRule type="expression" dxfId="3" priority="13">
      <formula>1*(WEEKDAY(Date,2)&gt;5)</formula>
    </cfRule>
  </conditionalFormatting>
  <conditionalFormatting sqref="M10:BP162">
    <cfRule type="expression" dxfId="2" priority="10">
      <formula>Date=TODAY()</formula>
    </cfRule>
    <cfRule type="expression" dxfId="1" priority="12">
      <formula>AND(Type="S",Date&gt;=Start,Date&lt;=Finish)</formula>
    </cfRule>
    <cfRule type="expression" dxfId="0" priority="14">
      <formula>AND(Type="T",Date&gt;=Start,Date&lt;=Finish)</formula>
    </cfRule>
  </conditionalFormatting>
  <dataValidations count="1">
    <dataValidation type="list" allowBlank="1" showInputMessage="1" showErrorMessage="1" sqref="C10:C162" xr:uid="{F98974E9-2F19-2E4A-855A-AC6F0EC66627}">
      <formula1>"S,T,M"</formula1>
    </dataValidation>
  </dataValidations>
  <printOptions horizontalCentered="1" verticalCentered="1"/>
  <pageMargins left="0.45" right="0.45" top="0.5" bottom="0.5" header="0.3" footer="0.3"/>
  <pageSetup paperSize="9" scale="29" fitToHeight="3" orientation="portrait" horizontalDpi="0" verticalDpi="0"/>
  <headerFooter>
    <oddHeader>&amp;L&amp;"Calibri,Regular"&amp;K000000ISO 27001 for Beginners</oddHeader>
    <oddFooter>&amp;L&amp;"Calibri,Regular"&amp;K000000© 2022 Aron Lange&amp;R&amp;"Calibri,Regular"&amp;K000000Page &amp;P</oddFooter>
  </headerFooter>
  <ignoredErrors>
    <ignoredError sqref="G10" formulaRange="1"/>
  </ignoredErrors>
  <drawing r:id="rId1"/>
  <legacyDrawing r:id="rId2"/>
  <mc:AlternateContent xmlns:mc="http://schemas.openxmlformats.org/markup-compatibility/2006">
    <mc:Choice Requires="x14">
      <controls>
        <mc:AlternateContent xmlns:mc="http://schemas.openxmlformats.org/markup-compatibility/2006">
          <mc:Choice Requires="x14">
            <control shapeId="1025" r:id="rId3" name="Scroll Bar 1">
              <controlPr defaultSize="0" autoPict="0">
                <anchor moveWithCells="1">
                  <from>
                    <xdr:col>11</xdr:col>
                    <xdr:colOff>4086225</xdr:colOff>
                    <xdr:row>3</xdr:row>
                    <xdr:rowOff>66675</xdr:rowOff>
                  </from>
                  <to>
                    <xdr:col>14</xdr:col>
                    <xdr:colOff>161925</xdr:colOff>
                    <xdr:row>4</xdr:row>
                    <xdr:rowOff>200025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F73F326F-888A-284E-9A3B-DEF94086E0C7}">
            <x14:dataBar minLength="0" maxLength="100" gradient="0">
              <x14:cfvo type="num">
                <xm:f>0</xm:f>
              </x14:cfvo>
              <x14:cfvo type="num">
                <xm:f>1</xm:f>
              </x14:cfvo>
              <x14:negativeFillColor rgb="FFFF0000"/>
              <x14:axisColor rgb="FF000000"/>
            </x14:dataBar>
          </x14:cfRule>
          <xm:sqref>J10:K26 K22:K35 J23:J35 J35:K162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8E2C7D93F918E46911B4269CF02CEB6" ma:contentTypeVersion="3" ma:contentTypeDescription="Crear nuevo documento." ma:contentTypeScope="" ma:versionID="bcad803669ef37d11a7a467b8ee6a9e6">
  <xsd:schema xmlns:xsd="http://www.w3.org/2001/XMLSchema" xmlns:xs="http://www.w3.org/2001/XMLSchema" xmlns:p="http://schemas.microsoft.com/office/2006/metadata/properties" xmlns:ns2="32c229cb-ced6-45fc-bc50-0581540db9c7" targetNamespace="http://schemas.microsoft.com/office/2006/metadata/properties" ma:root="true" ma:fieldsID="b9905b907662d7b8fc1087e48d9c7ada" ns2:_="">
    <xsd:import namespace="32c229cb-ced6-45fc-bc50-0581540db9c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c229cb-ced6-45fc-bc50-0581540db9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6C63CD-E830-4CEC-B621-1C2FA4ED9597}"/>
</file>

<file path=customXml/itemProps2.xml><?xml version="1.0" encoding="utf-8"?>
<ds:datastoreItem xmlns:ds="http://schemas.openxmlformats.org/officeDocument/2006/customXml" ds:itemID="{D6AD1B45-EB54-41FB-BB11-F40964793ED6}"/>
</file>

<file path=customXml/itemProps3.xml><?xml version="1.0" encoding="utf-8"?>
<ds:datastoreItem xmlns:ds="http://schemas.openxmlformats.org/officeDocument/2006/customXml" ds:itemID="{DE2BD803-84C9-4525-9767-D4C1CC1571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Bienvenido</vt:lpstr>
      <vt:lpstr>Referencias normativas</vt:lpstr>
      <vt:lpstr>Citas</vt:lpstr>
      <vt:lpstr>Entregables</vt:lpstr>
      <vt:lpstr>Información sobre el proyecto</vt:lpstr>
      <vt:lpstr>Diagrama de Gantt</vt:lpstr>
      <vt:lpstr>Date</vt:lpstr>
      <vt:lpstr>'Diagrama de Gantt'!Finish</vt:lpstr>
      <vt:lpstr>'Diagrama de Gantt'!Start</vt:lpstr>
      <vt:lpstr>'Diagrama de Gantt'!Type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ISO 27001 Implementation Project</dc:title>
  <dc:subject/>
  <dc:creator>Aron Lange</dc:creator>
  <cp:keywords/>
  <dc:description>This file is subject to German copyright law. Unless expressly permitted by law, every form of utilizing, reproducing or processing works subject to copyright protection, requires the prior consent of the respective owner of the rights. Individual reproductions of a work are only allowed for private use. The materials from these pages are copyrighted and any unauthorized use may violate copyright laws.</dc:description>
  <cp:lastModifiedBy>Mauricio Villarreal Gallego</cp:lastModifiedBy>
  <cp:lastPrinted>2022-06-13T15:27:57Z</cp:lastPrinted>
  <dcterms:created xsi:type="dcterms:W3CDTF">2022-06-10T17:08:30Z</dcterms:created>
  <dcterms:modified xsi:type="dcterms:W3CDTF">2025-10-22T16:56:12Z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0x01010068E2C7D93F918E46911B4269CF02CEB6</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